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ynf3\Downloads\"/>
    </mc:Choice>
  </mc:AlternateContent>
  <xr:revisionPtr revIDLastSave="0" documentId="13_ncr:1_{FF4BA734-6C31-4F04-88A8-B379710DDD90}" xr6:coauthVersionLast="47" xr6:coauthVersionMax="47" xr10:uidLastSave="{00000000-0000-0000-0000-000000000000}"/>
  <bookViews>
    <workbookView xWindow="-110" yWindow="-110" windowWidth="29020" windowHeight="15700" tabRatio="500" firstSheet="9" activeTab="10" xr2:uid="{00000000-000D-0000-FFFF-FFFF00000000}"/>
  </bookViews>
  <sheets>
    <sheet name="Contents" sheetId="76" r:id="rId1"/>
    <sheet name="Funding_Plan" sheetId="83" r:id="rId2"/>
    <sheet name="Reading Guide" sheetId="94" r:id="rId3"/>
    <sheet name="Valuation" sheetId="84" r:id="rId4"/>
    <sheet name="Model Checks" sheetId="96" r:id="rId5"/>
    <sheet name="Scenario_CF" sheetId="85" r:id="rId6"/>
    <sheet name="Cohort_Economics" sheetId="86" r:id="rId7"/>
    <sheet name="Exec_Fin_Dashboard" sheetId="87" r:id="rId8"/>
    <sheet name="Assumptions_Log" sheetId="88" r:id="rId9"/>
    <sheet name="Change_Log" sheetId="89" r:id="rId10"/>
    <sheet name="BreakEven_Bridge" sheetId="90" r:id="rId11"/>
    <sheet name="Scenario_CashFlows" sheetId="91" r:id="rId12"/>
    <sheet name="FD_Decision_Log" sheetId="92" r:id="rId13"/>
    <sheet name="Sensitivity_Y5_Breakeven" sheetId="93" r:id="rId14"/>
    <sheet name="00_TOC" sheetId="74" r:id="rId15"/>
    <sheet name="Exec Summary" sheetId="1" r:id="rId16"/>
    <sheet name="00_Cover" sheetId="26" r:id="rId17"/>
    <sheet name="01_Executive_Overview" sheetId="27" r:id="rId18"/>
    <sheet name="02_VMV_Startup" sheetId="28" r:id="rId19"/>
    <sheet name="03_Choices" sheetId="29" r:id="rId20"/>
    <sheet name="04_Market_Sizing" sheetId="30" r:id="rId21"/>
    <sheet name="05_Objektif" sheetId="31" r:id="rId22"/>
    <sheet name="06_Prosbis_Inti" sheetId="32" r:id="rId23"/>
    <sheet name="07_Prosbis_Pendukung" sheetId="33" r:id="rId24"/>
    <sheet name="08_Task_Interdependency" sheetId="34" r:id="rId25"/>
    <sheet name="09_Struktur_Organisasi" sheetId="35" r:id="rId26"/>
    <sheet name="10_Matriks_RAM" sheetId="36" r:id="rId27"/>
    <sheet name="A1_Level4_Activity" sheetId="37" r:id="rId28"/>
    <sheet name="A2_E2E_Flow" sheetId="38" r:id="rId29"/>
    <sheet name="A3_KPI" sheetId="39" r:id="rId30"/>
    <sheet name="A4_Risk_Control" sheetId="40" r:id="rId31"/>
    <sheet name="A5_SOP_Draft" sheetId="41" r:id="rId32"/>
    <sheet name="A6_Improvement" sheetId="42" r:id="rId33"/>
    <sheet name="Problem" sheetId="3" r:id="rId34"/>
    <sheet name="Market" sheetId="4" r:id="rId35"/>
    <sheet name="TAM SAM SOM" sheetId="5" r:id="rId36"/>
    <sheet name="Customers" sheetId="6" r:id="rId37"/>
    <sheet name="Competitors" sheetId="7" r:id="rId38"/>
    <sheet name="Assumptions" sheetId="2" r:id="rId39"/>
    <sheet name="Assumptions (2)" sheetId="49" r:id="rId40"/>
    <sheet name="Master Input Data" sheetId="46" r:id="rId41"/>
    <sheet name="Master Component" sheetId="47" r:id="rId42"/>
    <sheet name="System_Architecture" sheetId="72" r:id="rId43"/>
    <sheet name="Architecture_Trade_Study" sheetId="64" r:id="rId44"/>
    <sheet name="Tech Stack" sheetId="8" r:id="rId45"/>
    <sheet name="Requirements_Matrix" sheetId="66" r:id="rId46"/>
    <sheet name="ICD_Connector" sheetId="67" r:id="rId47"/>
    <sheet name="SBP_BOM" sheetId="51" r:id="rId48"/>
    <sheet name="VoltSwap_BOM" sheetId="52" r:id="rId49"/>
    <sheet name="VoltGrid_BOM" sheetId="53" r:id="rId50"/>
    <sheet name="VoltOS_BOM" sheetId="54" r:id="rId51"/>
    <sheet name="Fabrication" sheetId="50" r:id="rId52"/>
    <sheet name="RollUp" sheetId="55" r:id="rId53"/>
    <sheet name="Cost_Drivers" sheetId="56" r:id="rId54"/>
    <sheet name="Pricing" sheetId="10" r:id="rId55"/>
    <sheet name="Revenue Model" sheetId="9" r:id="rId56"/>
    <sheet name="Swap Hub Econ" sheetId="11" r:id="rId57"/>
    <sheet name="Microgrid Econ" sheetId="12" r:id="rId58"/>
    <sheet name="Battery Lifecycle" sheetId="13" r:id="rId59"/>
    <sheet name="Operational KPI" sheetId="14" r:id="rId60"/>
    <sheet name="Carbon" sheetId="15" r:id="rId61"/>
    <sheet name="ESG" sheetId="16" r:id="rId62"/>
    <sheet name="Capex Schedule" sheetId="20" r:id="rId63"/>
    <sheet name="P&amp;L" sheetId="17" r:id="rId64"/>
    <sheet name="Cash Flow" sheetId="18" r:id="rId65"/>
    <sheet name="Balance Sheet" sheetId="19" r:id="rId66"/>
    <sheet name="Scenarios" sheetId="21" r:id="rId67"/>
    <sheet name="Monthly_Runway" sheetId="71" r:id="rId68"/>
    <sheet name="Investor Returns" sheetId="22" r:id="rId69"/>
    <sheet name="Regulatory_Map" sheetId="73" r:id="rId70"/>
    <sheet name="Uncertainty_Register" sheetId="57" r:id="rId71"/>
    <sheet name="Safety_Risk_Register" sheetId="68" r:id="rId72"/>
    <sheet name="Procurement_Recs" sheetId="58" r:id="rId73"/>
    <sheet name="Procurement_RFQ_List" sheetId="69" r:id="rId74"/>
    <sheet name="Test_Plan" sheetId="65" r:id="rId75"/>
    <sheet name="Tropical_Test_Protocol" sheetId="70" r:id="rId76"/>
    <sheet name="Roadmap" sheetId="23" r:id="rId77"/>
    <sheet name="Recommendations" sheetId="24" r:id="rId78"/>
  </sheets>
  <definedNames>
    <definedName name="BatCostIDR">Assumptions!$E$28</definedName>
    <definedName name="BatCostUSD">Assumptions!$E$13</definedName>
    <definedName name="BatDegradation">Assumptions!$E$24</definedName>
    <definedName name="BatteriesRow">Assumptions!$B$46:$F$46</definedName>
    <definedName name="CapexInfl">Assumptions!$E$12</definedName>
    <definedName name="CarbonMonetization">Assumptions!$E$35</definedName>
    <definedName name="CarbonPriceID">Assumptions!$E$15</definedName>
    <definedName name="CarbonPriceUSD">Assumptions!$E$16</definedName>
    <definedName name="Churn">Assumptions!$E$27</definedName>
    <definedName name="CourierGrowth">Assumptions!$E$23</definedName>
    <definedName name="CouriersPerHub">Assumptions!$B$44:$F$44</definedName>
    <definedName name="DieselPrice">Assumptions!$E$14</definedName>
    <definedName name="EVGrowth">Assumptions!$E$22</definedName>
    <definedName name="FX">Assumptions!$E$11</definedName>
    <definedName name="HomesPerMG">Assumptions!$B$45:$F$45</definedName>
    <definedName name="HubCapex">Assumptions!$E$31</definedName>
    <definedName name="HubsRow">Assumptions!$B$42:$F$42</definedName>
    <definedName name="HubsY1">Assumptions!$E$36</definedName>
    <definedName name="HubUtilization">Assumptions!$E$25</definedName>
    <definedName name="Inflation">Assumptions!$E$9</definedName>
    <definedName name="MicroCapex">Assumptions!$E$32</definedName>
    <definedName name="MicrogridsRow">Assumptions!$B$43:$F$43</definedName>
    <definedName name="MicrogridsY1">Assumptions!$E$37</definedName>
    <definedName name="MicrogridUptime">Assumptions!$E$26</definedName>
    <definedName name="MicroPrice">Assumptions!$E$30</definedName>
    <definedName name="OEMARPU">Assumptions!$E$34</definedName>
    <definedName name="OEMcustomers">Assumptions!$B$47:$F$47</definedName>
    <definedName name="PassportARPU">Assumptions!$E$33</definedName>
    <definedName name="Scenario">Assumptions!$B$4</definedName>
    <definedName name="ScenIdx">Assumptions!$B$5</definedName>
    <definedName name="SwapPrice">Assumptions!$E$29</definedName>
    <definedName name="TaxRate">Assumptions!$E$17</definedName>
    <definedName name="WACC">Assumptions!$E$10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0" i="96" l="1"/>
  <c r="C19" i="96"/>
  <c r="E16" i="96"/>
  <c r="D16" i="96" a="1"/>
  <c r="D16" i="96" s="1"/>
  <c r="E15" i="96"/>
  <c r="D15" i="96"/>
  <c r="E14" i="96"/>
  <c r="D14" i="96"/>
  <c r="E13" i="96"/>
  <c r="D13" i="96"/>
  <c r="E12" i="96"/>
  <c r="D12" i="96"/>
  <c r="E11" i="96"/>
  <c r="D11" i="96"/>
  <c r="E10" i="96"/>
  <c r="D10" i="96"/>
  <c r="E9" i="96"/>
  <c r="D9" i="96"/>
  <c r="E8" i="96"/>
  <c r="D8" i="96"/>
  <c r="E7" i="96"/>
  <c r="D7" i="96"/>
  <c r="E6" i="96"/>
  <c r="D6" i="96"/>
  <c r="E5" i="96"/>
  <c r="D5" i="96"/>
  <c r="C15" i="17"/>
  <c r="G65" i="71"/>
  <c r="G64" i="71"/>
  <c r="F6" i="92"/>
  <c r="G17" i="93"/>
  <c r="F17" i="93"/>
  <c r="E17" i="93"/>
  <c r="D17" i="93"/>
  <c r="C17" i="93"/>
  <c r="G16" i="93"/>
  <c r="F16" i="93"/>
  <c r="E16" i="93"/>
  <c r="D16" i="93"/>
  <c r="C16" i="93"/>
  <c r="D18" i="91"/>
  <c r="C18" i="91"/>
  <c r="B18" i="91"/>
  <c r="D17" i="91"/>
  <c r="C17" i="91"/>
  <c r="B17" i="91"/>
  <c r="B8" i="91"/>
  <c r="D5" i="91"/>
  <c r="C5" i="91"/>
  <c r="B5" i="91"/>
  <c r="C87" i="86"/>
  <c r="C86" i="86"/>
  <c r="C83" i="86"/>
  <c r="C82" i="86"/>
  <c r="C81" i="86"/>
  <c r="C80" i="86"/>
  <c r="E23" i="90"/>
  <c r="E21" i="90"/>
  <c r="E20" i="90"/>
  <c r="E11" i="90"/>
  <c r="B11" i="90"/>
  <c r="E9" i="90"/>
  <c r="E8" i="90"/>
  <c r="E7" i="90"/>
  <c r="E6" i="90"/>
  <c r="C45" i="86"/>
  <c r="C5" i="87"/>
  <c r="D5" i="87"/>
  <c r="E5" i="87"/>
  <c r="F5" i="87"/>
  <c r="G5" i="87"/>
  <c r="C6" i="87"/>
  <c r="D6" i="87"/>
  <c r="E6" i="87"/>
  <c r="F6" i="87"/>
  <c r="G6" i="87"/>
  <c r="C7" i="87"/>
  <c r="C15" i="87"/>
  <c r="C16" i="87"/>
  <c r="C24" i="87"/>
  <c r="C25" i="87"/>
  <c r="C31" i="87"/>
  <c r="C38" i="87"/>
  <c r="C44" i="87"/>
  <c r="C5" i="86"/>
  <c r="D5" i="86"/>
  <c r="E5" i="86"/>
  <c r="C6" i="86"/>
  <c r="D6" i="86"/>
  <c r="E6" i="86"/>
  <c r="C7" i="86"/>
  <c r="D7" i="86"/>
  <c r="H30" i="86" s="1"/>
  <c r="E7" i="86"/>
  <c r="C8" i="86"/>
  <c r="D8" i="86"/>
  <c r="E8" i="86"/>
  <c r="C9" i="86"/>
  <c r="D9" i="86"/>
  <c r="E9" i="86"/>
  <c r="C10" i="86"/>
  <c r="D10" i="86"/>
  <c r="E10" i="86"/>
  <c r="C11" i="86"/>
  <c r="D11" i="86"/>
  <c r="E11" i="86"/>
  <c r="C12" i="86"/>
  <c r="D12" i="86"/>
  <c r="E12" i="86"/>
  <c r="C13" i="86"/>
  <c r="D13" i="86"/>
  <c r="E13" i="86"/>
  <c r="C14" i="86"/>
  <c r="D14" i="86"/>
  <c r="E14" i="86"/>
  <c r="C15" i="86"/>
  <c r="D15" i="86"/>
  <c r="E15" i="86"/>
  <c r="C16" i="86"/>
  <c r="D16" i="86"/>
  <c r="E16" i="86"/>
  <c r="C17" i="86"/>
  <c r="D17" i="86"/>
  <c r="E17" i="86"/>
  <c r="C20" i="86"/>
  <c r="C21" i="86"/>
  <c r="C22" i="86"/>
  <c r="C23" i="86"/>
  <c r="G30" i="86"/>
  <c r="C39" i="86"/>
  <c r="C40" i="86"/>
  <c r="C43" i="86" s="1"/>
  <c r="C42" i="86"/>
  <c r="C49" i="86"/>
  <c r="C50" i="86"/>
  <c r="C51" i="86"/>
  <c r="C66" i="86"/>
  <c r="C68" i="86" s="1"/>
  <c r="C71" i="86" s="1"/>
  <c r="C41" i="86" s="1"/>
  <c r="C69" i="86"/>
  <c r="C70" i="86"/>
  <c r="C12" i="85"/>
  <c r="D12" i="85"/>
  <c r="E12" i="85"/>
  <c r="F12" i="85"/>
  <c r="G12" i="85"/>
  <c r="C13" i="85"/>
  <c r="D13" i="85"/>
  <c r="E13" i="85"/>
  <c r="F13" i="85"/>
  <c r="G13" i="85"/>
  <c r="C14" i="85"/>
  <c r="C18" i="85" s="1"/>
  <c r="C15" i="85"/>
  <c r="D15" i="85"/>
  <c r="E15" i="85"/>
  <c r="F15" i="85"/>
  <c r="G15" i="85"/>
  <c r="C16" i="85"/>
  <c r="D16" i="85"/>
  <c r="E16" i="85"/>
  <c r="F16" i="85"/>
  <c r="G16" i="85"/>
  <c r="C26" i="85"/>
  <c r="C28" i="85" s="1"/>
  <c r="D26" i="85"/>
  <c r="E26" i="85"/>
  <c r="F26" i="85"/>
  <c r="G26" i="85"/>
  <c r="C27" i="85"/>
  <c r="D27" i="85"/>
  <c r="E27" i="85"/>
  <c r="F27" i="85"/>
  <c r="G27" i="85"/>
  <c r="C29" i="85"/>
  <c r="D29" i="85"/>
  <c r="E29" i="85"/>
  <c r="F29" i="85"/>
  <c r="G29" i="85"/>
  <c r="C30" i="85"/>
  <c r="D30" i="85"/>
  <c r="E30" i="85"/>
  <c r="F30" i="85"/>
  <c r="G30" i="85"/>
  <c r="C40" i="85"/>
  <c r="D40" i="85"/>
  <c r="E40" i="85"/>
  <c r="F40" i="85"/>
  <c r="G40" i="85"/>
  <c r="C41" i="85"/>
  <c r="C42" i="85" s="1"/>
  <c r="D41" i="85"/>
  <c r="E41" i="85"/>
  <c r="F41" i="85"/>
  <c r="G41" i="85"/>
  <c r="C43" i="85"/>
  <c r="D43" i="85"/>
  <c r="E43" i="85"/>
  <c r="F43" i="85"/>
  <c r="G43" i="85"/>
  <c r="C44" i="85"/>
  <c r="D44" i="85"/>
  <c r="E44" i="85"/>
  <c r="F44" i="85"/>
  <c r="G44" i="85"/>
  <c r="C8" i="84"/>
  <c r="C10" i="84"/>
  <c r="C11" i="84"/>
  <c r="C13" i="84"/>
  <c r="C14" i="84"/>
  <c r="C15" i="84"/>
  <c r="C22" i="84"/>
  <c r="D22" i="84"/>
  <c r="E22" i="84"/>
  <c r="F22" i="84"/>
  <c r="G22" i="84"/>
  <c r="C23" i="84"/>
  <c r="D23" i="84"/>
  <c r="E23" i="84"/>
  <c r="F23" i="84"/>
  <c r="G23" i="84"/>
  <c r="C24" i="84"/>
  <c r="D24" i="84"/>
  <c r="E24" i="84"/>
  <c r="F24" i="84"/>
  <c r="G24" i="84"/>
  <c r="C27" i="84"/>
  <c r="D27" i="84"/>
  <c r="E27" i="84"/>
  <c r="F27" i="84"/>
  <c r="G27" i="84"/>
  <c r="D51" i="84"/>
  <c r="C58" i="84"/>
  <c r="C59" i="84"/>
  <c r="B70" i="84"/>
  <c r="H5" i="83"/>
  <c r="H6" i="83"/>
  <c r="C7" i="83"/>
  <c r="D7" i="83"/>
  <c r="E7" i="83"/>
  <c r="F7" i="83"/>
  <c r="G7" i="83"/>
  <c r="H7" i="83" s="1"/>
  <c r="H8" i="83"/>
  <c r="C9" i="83"/>
  <c r="H13" i="83"/>
  <c r="C33" i="83" s="1"/>
  <c r="H14" i="83"/>
  <c r="H15" i="83"/>
  <c r="C16" i="83"/>
  <c r="D16" i="83"/>
  <c r="E16" i="83"/>
  <c r="F16" i="83"/>
  <c r="G16" i="83"/>
  <c r="H16" i="83"/>
  <c r="C17" i="83"/>
  <c r="H17" i="83" s="1"/>
  <c r="D17" i="83"/>
  <c r="E17" i="83"/>
  <c r="F17" i="83"/>
  <c r="G17" i="83"/>
  <c r="C20" i="83"/>
  <c r="D20" i="83"/>
  <c r="E20" i="83"/>
  <c r="F20" i="83"/>
  <c r="G20" i="83"/>
  <c r="H20" i="83"/>
  <c r="C21" i="83"/>
  <c r="H21" i="83" s="1"/>
  <c r="D21" i="83"/>
  <c r="E21" i="83"/>
  <c r="F21" i="83"/>
  <c r="G21" i="83"/>
  <c r="C26" i="83"/>
  <c r="C28" i="83" s="1"/>
  <c r="D26" i="83"/>
  <c r="E26" i="83" s="1"/>
  <c r="C27" i="83"/>
  <c r="D27" i="83"/>
  <c r="E27" i="83"/>
  <c r="F27" i="83"/>
  <c r="G27" i="83"/>
  <c r="C56" i="86" l="1"/>
  <c r="C44" i="86"/>
  <c r="D30" i="86"/>
  <c r="E30" i="86"/>
  <c r="C30" i="86"/>
  <c r="F30" i="86"/>
  <c r="C31" i="85"/>
  <c r="C33" i="85" s="1"/>
  <c r="C32" i="85"/>
  <c r="C8" i="91" s="1"/>
  <c r="C45" i="85"/>
  <c r="C47" i="85" s="1"/>
  <c r="C46" i="85"/>
  <c r="D8" i="91" s="1"/>
  <c r="C17" i="85"/>
  <c r="C19" i="85" s="1"/>
  <c r="F26" i="83"/>
  <c r="E28" i="83"/>
  <c r="C34" i="83"/>
  <c r="C35" i="83"/>
  <c r="C36" i="83" s="1"/>
  <c r="D28" i="83"/>
  <c r="B20" i="88"/>
  <c r="B19" i="88"/>
  <c r="B18" i="88"/>
  <c r="B17" i="88"/>
  <c r="B16" i="88"/>
  <c r="B15" i="88"/>
  <c r="B14" i="88"/>
  <c r="B13" i="88"/>
  <c r="B12" i="88"/>
  <c r="B11" i="88"/>
  <c r="B10" i="88"/>
  <c r="B9" i="88"/>
  <c r="B8" i="88"/>
  <c r="B7" i="88"/>
  <c r="B6" i="88"/>
  <c r="B5" i="88"/>
  <c r="C67" i="71"/>
  <c r="D66" i="71"/>
  <c r="E66" i="71" s="1"/>
  <c r="F66" i="71" s="1"/>
  <c r="C66" i="71"/>
  <c r="B66" i="71"/>
  <c r="G66" i="71" s="1"/>
  <c r="F65" i="71"/>
  <c r="E65" i="71"/>
  <c r="D65" i="71"/>
  <c r="C65" i="71"/>
  <c r="B65" i="71"/>
  <c r="F64" i="71"/>
  <c r="E64" i="71"/>
  <c r="D64" i="71"/>
  <c r="C64" i="71"/>
  <c r="B64" i="71"/>
  <c r="G17" i="18"/>
  <c r="F17" i="18"/>
  <c r="E17" i="18"/>
  <c r="D17" i="18"/>
  <c r="C17" i="18"/>
  <c r="G16" i="18"/>
  <c r="F16" i="18"/>
  <c r="E16" i="18"/>
  <c r="D16" i="18"/>
  <c r="C16" i="18"/>
  <c r="C32" i="2"/>
  <c r="C31" i="2"/>
  <c r="D31" i="2" s="1"/>
  <c r="C50" i="20"/>
  <c r="C40" i="20"/>
  <c r="C39" i="20"/>
  <c r="C33" i="20"/>
  <c r="C30" i="20"/>
  <c r="C29" i="20"/>
  <c r="C23" i="20"/>
  <c r="D32" i="2"/>
  <c r="B32" i="2"/>
  <c r="C50" i="22"/>
  <c r="C46" i="22"/>
  <c r="B45" i="21"/>
  <c r="C45" i="21" s="1"/>
  <c r="D45" i="21" s="1"/>
  <c r="E45" i="21" s="1"/>
  <c r="B44" i="21"/>
  <c r="C44" i="21" s="1"/>
  <c r="D44" i="21" s="1"/>
  <c r="E44" i="21" s="1"/>
  <c r="C43" i="21"/>
  <c r="D43" i="21" s="1"/>
  <c r="E43" i="21" s="1"/>
  <c r="B43" i="21"/>
  <c r="B42" i="21"/>
  <c r="C42" i="21" s="1"/>
  <c r="D42" i="21" s="1"/>
  <c r="E42" i="21" s="1"/>
  <c r="B41" i="21"/>
  <c r="C41" i="21" s="1"/>
  <c r="D41" i="21" s="1"/>
  <c r="E41" i="21" s="1"/>
  <c r="C40" i="21"/>
  <c r="D40" i="21" s="1"/>
  <c r="E40" i="21" s="1"/>
  <c r="B40" i="21"/>
  <c r="C39" i="21"/>
  <c r="D39" i="21" s="1"/>
  <c r="E39" i="21" s="1"/>
  <c r="B39" i="21"/>
  <c r="G40" i="17"/>
  <c r="F40" i="17"/>
  <c r="E40" i="17"/>
  <c r="D40" i="17"/>
  <c r="C40" i="17"/>
  <c r="B56" i="71"/>
  <c r="B54" i="71"/>
  <c r="B53" i="71"/>
  <c r="Z45" i="71"/>
  <c r="Y45" i="71"/>
  <c r="X45" i="71"/>
  <c r="W45" i="71"/>
  <c r="V45" i="71"/>
  <c r="U45" i="71"/>
  <c r="T45" i="71"/>
  <c r="S45" i="71"/>
  <c r="R45" i="71"/>
  <c r="Q45" i="71"/>
  <c r="P45" i="71"/>
  <c r="O45" i="71"/>
  <c r="N45" i="71"/>
  <c r="M45" i="71"/>
  <c r="L45" i="71"/>
  <c r="K45" i="71"/>
  <c r="J45" i="71"/>
  <c r="I45" i="71"/>
  <c r="H45" i="71"/>
  <c r="G45" i="71"/>
  <c r="F45" i="71"/>
  <c r="E45" i="71"/>
  <c r="D45" i="71"/>
  <c r="Z44" i="71"/>
  <c r="Y44" i="71"/>
  <c r="X44" i="71"/>
  <c r="W44" i="71"/>
  <c r="V44" i="71"/>
  <c r="U44" i="71"/>
  <c r="T44" i="71"/>
  <c r="S44" i="71"/>
  <c r="R44" i="71"/>
  <c r="Q44" i="71"/>
  <c r="P44" i="71"/>
  <c r="O44" i="71"/>
  <c r="N44" i="71"/>
  <c r="M44" i="71"/>
  <c r="L44" i="71"/>
  <c r="K44" i="71"/>
  <c r="J44" i="71"/>
  <c r="I44" i="71"/>
  <c r="H44" i="71"/>
  <c r="G44" i="71"/>
  <c r="F44" i="71"/>
  <c r="E44" i="71"/>
  <c r="D44" i="71"/>
  <c r="Z43" i="71"/>
  <c r="Y43" i="71"/>
  <c r="X43" i="71"/>
  <c r="W43" i="71"/>
  <c r="V43" i="71"/>
  <c r="U43" i="71"/>
  <c r="T43" i="71"/>
  <c r="S43" i="71"/>
  <c r="R43" i="71"/>
  <c r="Q43" i="71"/>
  <c r="P43" i="71"/>
  <c r="O43" i="71"/>
  <c r="N43" i="71"/>
  <c r="M43" i="71"/>
  <c r="L43" i="71"/>
  <c r="K43" i="71"/>
  <c r="J43" i="71"/>
  <c r="I43" i="71"/>
  <c r="H43" i="71"/>
  <c r="G43" i="71"/>
  <c r="F43" i="71"/>
  <c r="E43" i="71"/>
  <c r="D43" i="71"/>
  <c r="Z42" i="71"/>
  <c r="Y42" i="71"/>
  <c r="X42" i="71"/>
  <c r="W42" i="71"/>
  <c r="V42" i="71"/>
  <c r="U42" i="71"/>
  <c r="T42" i="71"/>
  <c r="S42" i="71"/>
  <c r="R42" i="71"/>
  <c r="Q42" i="71"/>
  <c r="P42" i="71"/>
  <c r="O42" i="71"/>
  <c r="N42" i="71"/>
  <c r="M42" i="71"/>
  <c r="L42" i="71"/>
  <c r="K42" i="71"/>
  <c r="J42" i="71"/>
  <c r="I42" i="71"/>
  <c r="H42" i="71"/>
  <c r="G42" i="71"/>
  <c r="F42" i="71"/>
  <c r="E42" i="71"/>
  <c r="D42" i="71"/>
  <c r="X26" i="71"/>
  <c r="U26" i="71"/>
  <c r="T26" i="71"/>
  <c r="L26" i="71"/>
  <c r="I26" i="71"/>
  <c r="H26" i="71"/>
  <c r="S25" i="71"/>
  <c r="R25" i="71"/>
  <c r="G25" i="71"/>
  <c r="F25" i="71"/>
  <c r="R24" i="71"/>
  <c r="Q24" i="71"/>
  <c r="F24" i="71"/>
  <c r="E24" i="71"/>
  <c r="Z20" i="71"/>
  <c r="Y20" i="71"/>
  <c r="X20" i="71"/>
  <c r="W20" i="71"/>
  <c r="V20" i="71"/>
  <c r="U20" i="71"/>
  <c r="T20" i="71"/>
  <c r="S20" i="71"/>
  <c r="R20" i="71"/>
  <c r="Q20" i="71"/>
  <c r="P20" i="71"/>
  <c r="O20" i="71"/>
  <c r="N20" i="71"/>
  <c r="M20" i="71"/>
  <c r="L20" i="71"/>
  <c r="K20" i="71"/>
  <c r="J20" i="71"/>
  <c r="I20" i="71"/>
  <c r="H20" i="71"/>
  <c r="G20" i="71"/>
  <c r="F20" i="71"/>
  <c r="E20" i="71"/>
  <c r="D20" i="71"/>
  <c r="Z19" i="71"/>
  <c r="Y19" i="71"/>
  <c r="X19" i="71"/>
  <c r="W19" i="71"/>
  <c r="V19" i="71"/>
  <c r="U19" i="71"/>
  <c r="T19" i="71"/>
  <c r="S19" i="71"/>
  <c r="R19" i="71"/>
  <c r="Q19" i="71"/>
  <c r="P19" i="71"/>
  <c r="O19" i="71"/>
  <c r="N19" i="71"/>
  <c r="M19" i="71"/>
  <c r="L19" i="71"/>
  <c r="K19" i="71"/>
  <c r="J19" i="71"/>
  <c r="I19" i="71"/>
  <c r="H19" i="71"/>
  <c r="G19" i="71"/>
  <c r="F19" i="71"/>
  <c r="E19" i="71"/>
  <c r="D19" i="71"/>
  <c r="Z18" i="71"/>
  <c r="Y18" i="71"/>
  <c r="X18" i="71"/>
  <c r="W18" i="71"/>
  <c r="V18" i="71"/>
  <c r="U18" i="71"/>
  <c r="T18" i="71"/>
  <c r="S18" i="71"/>
  <c r="R18" i="71"/>
  <c r="Q18" i="71"/>
  <c r="P18" i="71"/>
  <c r="O18" i="71"/>
  <c r="N18" i="71"/>
  <c r="M18" i="71"/>
  <c r="L18" i="71"/>
  <c r="K18" i="71"/>
  <c r="J18" i="71"/>
  <c r="I18" i="71"/>
  <c r="H18" i="71"/>
  <c r="G18" i="71"/>
  <c r="F18" i="71"/>
  <c r="E18" i="71"/>
  <c r="D18" i="71"/>
  <c r="Z17" i="71"/>
  <c r="Y17" i="71"/>
  <c r="X17" i="71"/>
  <c r="W17" i="71"/>
  <c r="V17" i="71"/>
  <c r="U17" i="71"/>
  <c r="T17" i="71"/>
  <c r="S17" i="71"/>
  <c r="R17" i="71"/>
  <c r="Q17" i="71"/>
  <c r="P17" i="71"/>
  <c r="O17" i="71"/>
  <c r="N17" i="71"/>
  <c r="M17" i="71"/>
  <c r="L17" i="71"/>
  <c r="K17" i="71"/>
  <c r="J17" i="71"/>
  <c r="I17" i="71"/>
  <c r="H17" i="71"/>
  <c r="G17" i="71"/>
  <c r="F17" i="71"/>
  <c r="E17" i="71"/>
  <c r="D17" i="71"/>
  <c r="Z16" i="71"/>
  <c r="Y16" i="71"/>
  <c r="X16" i="71"/>
  <c r="W16" i="71"/>
  <c r="P16" i="71"/>
  <c r="N16" i="71"/>
  <c r="M16" i="71"/>
  <c r="L16" i="71"/>
  <c r="K16" i="71"/>
  <c r="D16" i="71"/>
  <c r="X15" i="71"/>
  <c r="X21" i="71" s="1"/>
  <c r="W15" i="71"/>
  <c r="W21" i="71" s="1"/>
  <c r="L15" i="71"/>
  <c r="L21" i="71" s="1"/>
  <c r="K15" i="71"/>
  <c r="K21" i="71" s="1"/>
  <c r="X12" i="71"/>
  <c r="W12" i="71"/>
  <c r="V12" i="71"/>
  <c r="V15" i="71" s="1"/>
  <c r="V21" i="71" s="1"/>
  <c r="Q12" i="71"/>
  <c r="Q15" i="71" s="1"/>
  <c r="L12" i="71"/>
  <c r="K12" i="71"/>
  <c r="J12" i="71"/>
  <c r="J15" i="71" s="1"/>
  <c r="E12" i="71"/>
  <c r="E15" i="71" s="1"/>
  <c r="Z11" i="71"/>
  <c r="Y11" i="71"/>
  <c r="Y12" i="71" s="1"/>
  <c r="Y15" i="71" s="1"/>
  <c r="Y21" i="71" s="1"/>
  <c r="X11" i="71"/>
  <c r="W11" i="71"/>
  <c r="V11" i="71"/>
  <c r="U11" i="71"/>
  <c r="U12" i="71" s="1"/>
  <c r="U15" i="71" s="1"/>
  <c r="U21" i="71" s="1"/>
  <c r="T11" i="71"/>
  <c r="S11" i="71"/>
  <c r="R11" i="71"/>
  <c r="Q11" i="71"/>
  <c r="P11" i="71"/>
  <c r="O11" i="71"/>
  <c r="N11" i="71"/>
  <c r="M11" i="71"/>
  <c r="M12" i="71" s="1"/>
  <c r="M15" i="71" s="1"/>
  <c r="M21" i="71" s="1"/>
  <c r="L11" i="71"/>
  <c r="K11" i="71"/>
  <c r="J11" i="71"/>
  <c r="I11" i="71"/>
  <c r="I12" i="71" s="1"/>
  <c r="I15" i="71" s="1"/>
  <c r="I21" i="71" s="1"/>
  <c r="H11" i="71"/>
  <c r="G11" i="71"/>
  <c r="F11" i="71"/>
  <c r="E11" i="71"/>
  <c r="D11" i="71"/>
  <c r="Z10" i="71"/>
  <c r="Z25" i="71" s="1"/>
  <c r="Y10" i="71"/>
  <c r="Y25" i="71" s="1"/>
  <c r="X10" i="71"/>
  <c r="X25" i="71" s="1"/>
  <c r="W10" i="71"/>
  <c r="W25" i="71" s="1"/>
  <c r="V10" i="71"/>
  <c r="V16" i="71" s="1"/>
  <c r="U10" i="71"/>
  <c r="U16" i="71" s="1"/>
  <c r="T10" i="71"/>
  <c r="T16" i="71" s="1"/>
  <c r="S10" i="71"/>
  <c r="S16" i="71" s="1"/>
  <c r="R10" i="71"/>
  <c r="R16" i="71" s="1"/>
  <c r="Q10" i="71"/>
  <c r="Q25" i="71" s="1"/>
  <c r="P10" i="71"/>
  <c r="P25" i="71" s="1"/>
  <c r="O10" i="71"/>
  <c r="O25" i="71" s="1"/>
  <c r="N10" i="71"/>
  <c r="N25" i="71" s="1"/>
  <c r="M10" i="71"/>
  <c r="M25" i="71" s="1"/>
  <c r="L10" i="71"/>
  <c r="L25" i="71" s="1"/>
  <c r="K10" i="71"/>
  <c r="K25" i="71" s="1"/>
  <c r="J10" i="71"/>
  <c r="J16" i="71" s="1"/>
  <c r="I10" i="71"/>
  <c r="I16" i="71" s="1"/>
  <c r="H10" i="71"/>
  <c r="H16" i="71" s="1"/>
  <c r="G10" i="71"/>
  <c r="G16" i="71" s="1"/>
  <c r="F10" i="71"/>
  <c r="F16" i="71" s="1"/>
  <c r="E10" i="71"/>
  <c r="E25" i="71" s="1"/>
  <c r="D10" i="71"/>
  <c r="D25" i="71" s="1"/>
  <c r="Z9" i="71"/>
  <c r="Z24" i="71" s="1"/>
  <c r="Y9" i="71"/>
  <c r="Y24" i="71" s="1"/>
  <c r="X9" i="71"/>
  <c r="X24" i="71" s="1"/>
  <c r="W9" i="71"/>
  <c r="W24" i="71" s="1"/>
  <c r="V9" i="71"/>
  <c r="V24" i="71" s="1"/>
  <c r="U9" i="71"/>
  <c r="U24" i="71" s="1"/>
  <c r="T9" i="71"/>
  <c r="T12" i="71" s="1"/>
  <c r="T15" i="71" s="1"/>
  <c r="S9" i="71"/>
  <c r="S12" i="71" s="1"/>
  <c r="S15" i="71" s="1"/>
  <c r="S21" i="71" s="1"/>
  <c r="R9" i="71"/>
  <c r="R26" i="71" s="1"/>
  <c r="Q9" i="71"/>
  <c r="Q26" i="71" s="1"/>
  <c r="P9" i="71"/>
  <c r="P24" i="71" s="1"/>
  <c r="O9" i="71"/>
  <c r="O24" i="71" s="1"/>
  <c r="N9" i="71"/>
  <c r="N24" i="71" s="1"/>
  <c r="M9" i="71"/>
  <c r="M24" i="71" s="1"/>
  <c r="L9" i="71"/>
  <c r="L24" i="71" s="1"/>
  <c r="K9" i="71"/>
  <c r="K24" i="71" s="1"/>
  <c r="J9" i="71"/>
  <c r="J24" i="71" s="1"/>
  <c r="I9" i="71"/>
  <c r="I24" i="71" s="1"/>
  <c r="H9" i="71"/>
  <c r="H12" i="71" s="1"/>
  <c r="H15" i="71" s="1"/>
  <c r="G9" i="71"/>
  <c r="G12" i="71" s="1"/>
  <c r="G15" i="71" s="1"/>
  <c r="G21" i="71" s="1"/>
  <c r="F9" i="71"/>
  <c r="F26" i="71" s="1"/>
  <c r="E9" i="71"/>
  <c r="E26" i="71" s="1"/>
  <c r="D9" i="71"/>
  <c r="D24" i="71" s="1"/>
  <c r="Z6" i="71"/>
  <c r="Y6" i="71"/>
  <c r="X6" i="71"/>
  <c r="W6" i="71"/>
  <c r="V6" i="71"/>
  <c r="U6" i="71"/>
  <c r="T6" i="71"/>
  <c r="S6" i="71"/>
  <c r="R6" i="71"/>
  <c r="Q6" i="71"/>
  <c r="P6" i="71"/>
  <c r="O6" i="71"/>
  <c r="N6" i="71"/>
  <c r="M6" i="71"/>
  <c r="L6" i="71"/>
  <c r="K6" i="71"/>
  <c r="J6" i="71"/>
  <c r="I6" i="71"/>
  <c r="H6" i="71"/>
  <c r="G6" i="71"/>
  <c r="F6" i="71"/>
  <c r="E6" i="71"/>
  <c r="D6" i="71"/>
  <c r="Z5" i="71"/>
  <c r="Y5" i="71"/>
  <c r="X5" i="71"/>
  <c r="W5" i="71"/>
  <c r="V5" i="71"/>
  <c r="U5" i="71"/>
  <c r="T5" i="71"/>
  <c r="S5" i="71"/>
  <c r="R5" i="71"/>
  <c r="Q5" i="71"/>
  <c r="P5" i="71"/>
  <c r="O5" i="71"/>
  <c r="N5" i="71"/>
  <c r="M5" i="71"/>
  <c r="L5" i="71"/>
  <c r="K5" i="71"/>
  <c r="J5" i="71"/>
  <c r="I5" i="71"/>
  <c r="H5" i="71"/>
  <c r="G5" i="71"/>
  <c r="F5" i="71"/>
  <c r="E5" i="71"/>
  <c r="D5" i="71"/>
  <c r="C45" i="71"/>
  <c r="C44" i="71"/>
  <c r="C43" i="71"/>
  <c r="C42" i="71"/>
  <c r="C26" i="71"/>
  <c r="C25" i="71"/>
  <c r="C24" i="71"/>
  <c r="C27" i="71" s="1"/>
  <c r="C20" i="71"/>
  <c r="C19" i="71"/>
  <c r="C18" i="71"/>
  <c r="C17" i="71"/>
  <c r="C16" i="71"/>
  <c r="C12" i="71"/>
  <c r="C15" i="71" s="1"/>
  <c r="C21" i="71" s="1"/>
  <c r="C11" i="71"/>
  <c r="C10" i="71"/>
  <c r="C9" i="71"/>
  <c r="C6" i="71"/>
  <c r="C5" i="71"/>
  <c r="E10" i="21"/>
  <c r="C10" i="21"/>
  <c r="E8" i="21"/>
  <c r="C8" i="21"/>
  <c r="E7" i="21"/>
  <c r="C7" i="21"/>
  <c r="E6" i="21"/>
  <c r="C6" i="21"/>
  <c r="E5" i="21"/>
  <c r="C5" i="21"/>
  <c r="C35" i="11"/>
  <c r="C34" i="11"/>
  <c r="C33" i="11"/>
  <c r="C32" i="11"/>
  <c r="G39" i="17" a="1"/>
  <c r="G39" i="17" s="1"/>
  <c r="G41" i="17" s="1"/>
  <c r="F39" i="17" a="1"/>
  <c r="F39" i="17" s="1"/>
  <c r="F41" i="17" s="1"/>
  <c r="E39" i="17" a="1"/>
  <c r="E39" i="17" s="1"/>
  <c r="E41" i="17" s="1"/>
  <c r="D39" i="17" a="1"/>
  <c r="D39" i="17" s="1"/>
  <c r="C39" i="17" a="1"/>
  <c r="C39" i="17" s="1"/>
  <c r="C46" i="17"/>
  <c r="B46" i="17"/>
  <c r="S22" i="53"/>
  <c r="R22" i="53" s="1"/>
  <c r="Q22" i="53"/>
  <c r="P22" i="53"/>
  <c r="S26" i="51"/>
  <c r="R26" i="51"/>
  <c r="Q26" i="51"/>
  <c r="P26" i="51"/>
  <c r="C18" i="70"/>
  <c r="C21" i="70"/>
  <c r="C20" i="70"/>
  <c r="C19" i="70"/>
  <c r="C17" i="70"/>
  <c r="C18" i="69" a="1"/>
  <c r="C18" i="69" s="1"/>
  <c r="C17" i="68"/>
  <c r="C16" i="68"/>
  <c r="G14" i="68"/>
  <c r="G13" i="68"/>
  <c r="G12" i="68"/>
  <c r="G11" i="68"/>
  <c r="G10" i="68"/>
  <c r="G9" i="68"/>
  <c r="G8" i="68"/>
  <c r="G7" i="68"/>
  <c r="G6" i="68"/>
  <c r="G5" i="68"/>
  <c r="A29" i="66"/>
  <c r="A37" i="65"/>
  <c r="F35" i="64"/>
  <c r="E35" i="64"/>
  <c r="D35" i="64"/>
  <c r="C35" i="64"/>
  <c r="B35" i="64"/>
  <c r="F34" i="64"/>
  <c r="E34" i="64"/>
  <c r="F33" i="64"/>
  <c r="E33" i="64"/>
  <c r="F32" i="64"/>
  <c r="E32" i="64"/>
  <c r="F31" i="64"/>
  <c r="E31" i="64"/>
  <c r="F30" i="64"/>
  <c r="E30" i="64"/>
  <c r="F29" i="64"/>
  <c r="E29" i="64"/>
  <c r="F28" i="64"/>
  <c r="E28" i="64"/>
  <c r="C27" i="22"/>
  <c r="C26" i="22"/>
  <c r="C25" i="22"/>
  <c r="C24" i="22"/>
  <c r="G38" i="17"/>
  <c r="F38" i="17"/>
  <c r="E38" i="17"/>
  <c r="D38" i="17"/>
  <c r="C38" i="17"/>
  <c r="G37" i="17"/>
  <c r="F37" i="17"/>
  <c r="E37" i="17"/>
  <c r="D37" i="17"/>
  <c r="C37" i="17"/>
  <c r="G36" i="17"/>
  <c r="F36" i="17"/>
  <c r="E36" i="17"/>
  <c r="D36" i="17"/>
  <c r="C36" i="17"/>
  <c r="G35" i="17"/>
  <c r="F35" i="17"/>
  <c r="E35" i="17"/>
  <c r="D35" i="17"/>
  <c r="C35" i="17"/>
  <c r="G34" i="17"/>
  <c r="F34" i="17"/>
  <c r="E34" i="17"/>
  <c r="D34" i="17"/>
  <c r="C34" i="17"/>
  <c r="G33" i="17"/>
  <c r="F33" i="17"/>
  <c r="E33" i="17"/>
  <c r="D33" i="17"/>
  <c r="C33" i="17"/>
  <c r="G32" i="17"/>
  <c r="F32" i="17"/>
  <c r="E32" i="17"/>
  <c r="D32" i="17"/>
  <c r="C32" i="17"/>
  <c r="G41" i="9"/>
  <c r="F41" i="9"/>
  <c r="E41" i="9"/>
  <c r="D41" i="9"/>
  <c r="C41" i="9"/>
  <c r="G25" i="1"/>
  <c r="F25" i="1"/>
  <c r="E25" i="1"/>
  <c r="D25" i="1"/>
  <c r="C25" i="1"/>
  <c r="B5" i="49"/>
  <c r="E14" i="5"/>
  <c r="G24" i="1"/>
  <c r="F24" i="1"/>
  <c r="E24" i="1"/>
  <c r="D24" i="1"/>
  <c r="C24" i="1"/>
  <c r="G23" i="1"/>
  <c r="F23" i="1"/>
  <c r="E23" i="1"/>
  <c r="D23" i="1"/>
  <c r="C23" i="1"/>
  <c r="G22" i="1"/>
  <c r="F22" i="1"/>
  <c r="E22" i="1"/>
  <c r="D22" i="1"/>
  <c r="C22" i="1"/>
  <c r="D8" i="56"/>
  <c r="D12" i="56"/>
  <c r="C28" i="56"/>
  <c r="D28" i="56"/>
  <c r="B8" i="55"/>
  <c r="C8" i="55"/>
  <c r="D8" i="55"/>
  <c r="E8" i="55"/>
  <c r="B10" i="55"/>
  <c r="C10" i="55"/>
  <c r="D10" i="55"/>
  <c r="E10" i="55"/>
  <c r="C12" i="55"/>
  <c r="D12" i="55"/>
  <c r="E12" i="55"/>
  <c r="B24" i="55"/>
  <c r="C24" i="55"/>
  <c r="D24" i="55"/>
  <c r="E24" i="55"/>
  <c r="B26" i="55"/>
  <c r="C26" i="55"/>
  <c r="D26" i="55"/>
  <c r="E26" i="55"/>
  <c r="C28" i="55"/>
  <c r="D28" i="55"/>
  <c r="E28" i="55"/>
  <c r="B40" i="55"/>
  <c r="C41" i="56" s="1"/>
  <c r="C40" i="55"/>
  <c r="D40" i="55"/>
  <c r="E40" i="55"/>
  <c r="D41" i="56" s="1"/>
  <c r="B42" i="55"/>
  <c r="C42" i="55"/>
  <c r="D42" i="55"/>
  <c r="E42" i="55"/>
  <c r="C44" i="55"/>
  <c r="D44" i="55"/>
  <c r="E44" i="55"/>
  <c r="B56" i="55"/>
  <c r="C56" i="55"/>
  <c r="D56" i="55"/>
  <c r="E56" i="55"/>
  <c r="B58" i="55"/>
  <c r="C58" i="55"/>
  <c r="D58" i="55"/>
  <c r="E58" i="55"/>
  <c r="C83" i="55"/>
  <c r="C87" i="55"/>
  <c r="C91" i="55"/>
  <c r="N5" i="54"/>
  <c r="P5" i="54" s="1"/>
  <c r="O5" i="54"/>
  <c r="N6" i="54"/>
  <c r="S6" i="54" s="1"/>
  <c r="D47" i="56" s="1"/>
  <c r="O6" i="54"/>
  <c r="P6" i="54"/>
  <c r="C47" i="56" s="1"/>
  <c r="Q6" i="54"/>
  <c r="R6" i="54" s="1"/>
  <c r="N7" i="54"/>
  <c r="P7" i="54" s="1"/>
  <c r="C49" i="56" s="1"/>
  <c r="O7" i="54"/>
  <c r="N8" i="54"/>
  <c r="S8" i="54" s="1"/>
  <c r="D50" i="56" s="1"/>
  <c r="O8" i="54"/>
  <c r="P8" i="54"/>
  <c r="C50" i="56" s="1"/>
  <c r="Q8" i="54"/>
  <c r="Q9" i="54"/>
  <c r="S9" i="54"/>
  <c r="R9" i="54" s="1"/>
  <c r="N10" i="54"/>
  <c r="O10" i="54"/>
  <c r="P10" i="54"/>
  <c r="C51" i="56" s="1"/>
  <c r="Q10" i="54"/>
  <c r="R10" i="54"/>
  <c r="S10" i="54"/>
  <c r="D51" i="56" s="1"/>
  <c r="N11" i="54"/>
  <c r="Q11" i="54" s="1"/>
  <c r="O11" i="54"/>
  <c r="P11" i="54" s="1"/>
  <c r="C53" i="56" s="1"/>
  <c r="Q12" i="54"/>
  <c r="S12" i="54"/>
  <c r="N13" i="54"/>
  <c r="Q13" i="54" s="1"/>
  <c r="O13" i="54"/>
  <c r="P13" i="54"/>
  <c r="C46" i="56" s="1"/>
  <c r="N14" i="54"/>
  <c r="P14" i="54" s="1"/>
  <c r="O14" i="54"/>
  <c r="Q14" i="54"/>
  <c r="S14" i="54"/>
  <c r="R14" i="54" s="1"/>
  <c r="Q5" i="53"/>
  <c r="R5" i="53" s="1"/>
  <c r="S5" i="53"/>
  <c r="Q6" i="53"/>
  <c r="R6" i="53" s="1"/>
  <c r="S6" i="53"/>
  <c r="D39" i="56" s="1"/>
  <c r="N7" i="53"/>
  <c r="O7" i="53"/>
  <c r="N8" i="53"/>
  <c r="P8" i="53" s="1"/>
  <c r="O8" i="53"/>
  <c r="Q8" i="53"/>
  <c r="Q9" i="53"/>
  <c r="S9" i="53"/>
  <c r="R9" i="53" s="1"/>
  <c r="N10" i="53"/>
  <c r="P10" i="53" s="1"/>
  <c r="O10" i="53"/>
  <c r="Q11" i="53"/>
  <c r="S11" i="53"/>
  <c r="D96" i="55" s="1"/>
  <c r="O12" i="53"/>
  <c r="P12" i="53" s="1"/>
  <c r="S12" i="53"/>
  <c r="D32" i="56" s="1"/>
  <c r="N13" i="53"/>
  <c r="O13" i="53"/>
  <c r="N14" i="53"/>
  <c r="O14" i="53"/>
  <c r="Q14" i="53" s="1"/>
  <c r="N15" i="53"/>
  <c r="O15" i="53"/>
  <c r="N16" i="53"/>
  <c r="O16" i="53"/>
  <c r="Q16" i="53" s="1"/>
  <c r="S16" i="53"/>
  <c r="N17" i="53"/>
  <c r="O17" i="53"/>
  <c r="N18" i="53"/>
  <c r="O18" i="53"/>
  <c r="Q18" i="53" s="1"/>
  <c r="S18" i="53"/>
  <c r="N19" i="53"/>
  <c r="S19" i="53" s="1"/>
  <c r="D35" i="56" s="1"/>
  <c r="O19" i="53"/>
  <c r="N20" i="53"/>
  <c r="O20" i="53"/>
  <c r="Q20" i="53" s="1"/>
  <c r="S20" i="53"/>
  <c r="D101" i="55" s="1"/>
  <c r="N21" i="53"/>
  <c r="O21" i="53"/>
  <c r="N23" i="53"/>
  <c r="O23" i="53"/>
  <c r="Q23" i="53" s="1"/>
  <c r="S23" i="53"/>
  <c r="D103" i="55" s="1"/>
  <c r="Q5" i="52"/>
  <c r="R5" i="52"/>
  <c r="S5" i="52"/>
  <c r="D20" i="56" s="1"/>
  <c r="Q6" i="52"/>
  <c r="R6" i="52"/>
  <c r="S6" i="52"/>
  <c r="N7" i="52"/>
  <c r="Q7" i="52" s="1"/>
  <c r="O7" i="52"/>
  <c r="P7" i="52" s="1"/>
  <c r="N8" i="52"/>
  <c r="O8" i="52"/>
  <c r="P8" i="52"/>
  <c r="Q8" i="52"/>
  <c r="R8" i="52"/>
  <c r="S8" i="52"/>
  <c r="D83" i="55" s="1"/>
  <c r="Q9" i="52"/>
  <c r="R9" i="52" s="1"/>
  <c r="S9" i="52"/>
  <c r="N10" i="52"/>
  <c r="P10" i="52" s="1"/>
  <c r="O10" i="52"/>
  <c r="Q10" i="52"/>
  <c r="S10" i="52"/>
  <c r="R10" i="52" s="1"/>
  <c r="N11" i="52"/>
  <c r="Q11" i="52" s="1"/>
  <c r="O11" i="52"/>
  <c r="P11" i="52"/>
  <c r="C22" i="56" s="1"/>
  <c r="N12" i="52"/>
  <c r="P12" i="52" s="1"/>
  <c r="C27" i="56" s="1"/>
  <c r="O12" i="52"/>
  <c r="Q12" i="52"/>
  <c r="S12" i="52"/>
  <c r="D27" i="56" s="1"/>
  <c r="N13" i="52"/>
  <c r="Q13" i="52" s="1"/>
  <c r="O13" i="52"/>
  <c r="P13" i="52"/>
  <c r="N14" i="52"/>
  <c r="P14" i="52" s="1"/>
  <c r="O14" i="52"/>
  <c r="Q14" i="52"/>
  <c r="S14" i="52"/>
  <c r="R14" i="52" s="1"/>
  <c r="N15" i="52"/>
  <c r="Q15" i="52" s="1"/>
  <c r="O15" i="52"/>
  <c r="P15" i="52"/>
  <c r="C85" i="55" s="1"/>
  <c r="N16" i="52"/>
  <c r="P16" i="52" s="1"/>
  <c r="O16" i="52"/>
  <c r="Q16" i="52"/>
  <c r="S16" i="52"/>
  <c r="D23" i="56" s="1"/>
  <c r="N17" i="52"/>
  <c r="Q17" i="52" s="1"/>
  <c r="O17" i="52"/>
  <c r="P17" i="52"/>
  <c r="N18" i="52"/>
  <c r="P18" i="52" s="1"/>
  <c r="O18" i="52"/>
  <c r="Q18" i="52"/>
  <c r="S18" i="52"/>
  <c r="N19" i="52"/>
  <c r="Q19" i="52" s="1"/>
  <c r="O19" i="52"/>
  <c r="P19" i="52"/>
  <c r="N20" i="52"/>
  <c r="P20" i="52" s="1"/>
  <c r="O20" i="52"/>
  <c r="Q20" i="52"/>
  <c r="S20" i="52"/>
  <c r="R20" i="52" s="1"/>
  <c r="N21" i="52"/>
  <c r="Q21" i="52" s="1"/>
  <c r="O21" i="52"/>
  <c r="P21" i="52"/>
  <c r="C21" i="56" s="1"/>
  <c r="N22" i="52"/>
  <c r="P22" i="52" s="1"/>
  <c r="O22" i="52"/>
  <c r="Q22" i="52"/>
  <c r="S22" i="52"/>
  <c r="D26" i="56" s="1"/>
  <c r="N23" i="52"/>
  <c r="Q23" i="52" s="1"/>
  <c r="O23" i="52"/>
  <c r="P23" i="52"/>
  <c r="N24" i="52"/>
  <c r="P24" i="52" s="1"/>
  <c r="C92" i="55" s="1"/>
  <c r="O24" i="52"/>
  <c r="Q24" i="52"/>
  <c r="S24" i="52"/>
  <c r="D92" i="55" s="1"/>
  <c r="Q5" i="51"/>
  <c r="R5" i="51" s="1"/>
  <c r="S5" i="51"/>
  <c r="Q6" i="51"/>
  <c r="R6" i="51" s="1"/>
  <c r="S6" i="51"/>
  <c r="D7" i="56" s="1"/>
  <c r="N7" i="51"/>
  <c r="O7" i="51"/>
  <c r="N8" i="51"/>
  <c r="O8" i="51"/>
  <c r="P8" i="51"/>
  <c r="Q8" i="51"/>
  <c r="P9" i="51"/>
  <c r="Q10" i="51"/>
  <c r="S10" i="51"/>
  <c r="D72" i="55" s="1"/>
  <c r="N11" i="51"/>
  <c r="O11" i="51"/>
  <c r="P11" i="51" s="1"/>
  <c r="C6" i="56" s="1"/>
  <c r="N12" i="51"/>
  <c r="P12" i="51" s="1"/>
  <c r="C15" i="56" s="1"/>
  <c r="S12" i="51"/>
  <c r="D15" i="56" s="1"/>
  <c r="Q13" i="51"/>
  <c r="S13" i="51"/>
  <c r="R13" i="51" s="1"/>
  <c r="N14" i="51"/>
  <c r="Q14" i="51" s="1"/>
  <c r="O14" i="51"/>
  <c r="N15" i="51"/>
  <c r="O15" i="51"/>
  <c r="N16" i="51"/>
  <c r="O16" i="51"/>
  <c r="Q16" i="51" s="1"/>
  <c r="P16" i="51"/>
  <c r="S16" i="51"/>
  <c r="N17" i="51"/>
  <c r="O17" i="51"/>
  <c r="N18" i="51"/>
  <c r="P18" i="51" s="1"/>
  <c r="O18" i="51"/>
  <c r="N19" i="51"/>
  <c r="O19" i="51"/>
  <c r="N20" i="51"/>
  <c r="O20" i="51"/>
  <c r="Q20" i="51" s="1"/>
  <c r="P20" i="51"/>
  <c r="S20" i="51"/>
  <c r="N21" i="51"/>
  <c r="O21" i="51"/>
  <c r="N22" i="51"/>
  <c r="P22" i="51" s="1"/>
  <c r="O22" i="51"/>
  <c r="N23" i="51"/>
  <c r="O23" i="51"/>
  <c r="N24" i="51"/>
  <c r="O24" i="51"/>
  <c r="Q24" i="51" s="1"/>
  <c r="P24" i="51"/>
  <c r="C79" i="55" s="1"/>
  <c r="S24" i="51"/>
  <c r="D79" i="55" s="1"/>
  <c r="N25" i="51"/>
  <c r="O25" i="51"/>
  <c r="N27" i="51"/>
  <c r="P27" i="51" s="1"/>
  <c r="C81" i="55" s="1"/>
  <c r="O27" i="51"/>
  <c r="F5" i="50"/>
  <c r="H5" i="50" s="1"/>
  <c r="G5" i="50"/>
  <c r="J5" i="50"/>
  <c r="K5" i="50"/>
  <c r="M5" i="50"/>
  <c r="N5" i="50"/>
  <c r="P5" i="50"/>
  <c r="S5" i="50"/>
  <c r="T5" i="50" s="1"/>
  <c r="F6" i="50"/>
  <c r="H6" i="50" s="1"/>
  <c r="G6" i="50"/>
  <c r="J6" i="50"/>
  <c r="K6" i="50"/>
  <c r="M6" i="50"/>
  <c r="N6" i="50"/>
  <c r="P6" i="50"/>
  <c r="S6" i="50"/>
  <c r="T6" i="50" s="1"/>
  <c r="F7" i="50"/>
  <c r="H7" i="50" s="1"/>
  <c r="G7" i="50"/>
  <c r="J7" i="50"/>
  <c r="K7" i="50"/>
  <c r="M7" i="50"/>
  <c r="N7" i="50"/>
  <c r="P7" i="50"/>
  <c r="S7" i="50"/>
  <c r="T7" i="50" s="1"/>
  <c r="F8" i="50"/>
  <c r="H8" i="50" s="1"/>
  <c r="G8" i="50"/>
  <c r="J8" i="50"/>
  <c r="K8" i="50"/>
  <c r="M8" i="50"/>
  <c r="N8" i="50"/>
  <c r="P8" i="50"/>
  <c r="S8" i="50"/>
  <c r="T8" i="50" s="1"/>
  <c r="F9" i="50"/>
  <c r="H9" i="50" s="1"/>
  <c r="G9" i="50"/>
  <c r="J9" i="50"/>
  <c r="K9" i="50"/>
  <c r="M9" i="50"/>
  <c r="N9" i="50"/>
  <c r="P9" i="50"/>
  <c r="S9" i="50"/>
  <c r="T9" i="50" s="1"/>
  <c r="F10" i="50"/>
  <c r="H10" i="50" s="1"/>
  <c r="G10" i="50"/>
  <c r="J10" i="50"/>
  <c r="K10" i="50"/>
  <c r="M10" i="50"/>
  <c r="N10" i="50"/>
  <c r="P10" i="50"/>
  <c r="S10" i="50"/>
  <c r="T10" i="50" s="1"/>
  <c r="F11" i="50"/>
  <c r="H11" i="50" s="1"/>
  <c r="G11" i="50"/>
  <c r="J11" i="50"/>
  <c r="K11" i="50"/>
  <c r="M11" i="50"/>
  <c r="N11" i="50"/>
  <c r="P11" i="50"/>
  <c r="S11" i="50"/>
  <c r="T11" i="50" s="1"/>
  <c r="F12" i="50"/>
  <c r="H12" i="50" s="1"/>
  <c r="G12" i="50"/>
  <c r="J12" i="50"/>
  <c r="K12" i="50"/>
  <c r="M12" i="50"/>
  <c r="N12" i="50"/>
  <c r="P12" i="50"/>
  <c r="S12" i="50"/>
  <c r="T12" i="50" s="1"/>
  <c r="F13" i="50"/>
  <c r="H13" i="50" s="1"/>
  <c r="G13" i="50"/>
  <c r="J13" i="50"/>
  <c r="K13" i="50"/>
  <c r="M13" i="50"/>
  <c r="N13" i="50"/>
  <c r="P13" i="50"/>
  <c r="S13" i="50"/>
  <c r="T13" i="50" s="1"/>
  <c r="F14" i="50"/>
  <c r="H14" i="50" s="1"/>
  <c r="G14" i="50"/>
  <c r="J14" i="50"/>
  <c r="K14" i="50"/>
  <c r="M14" i="50"/>
  <c r="N14" i="50"/>
  <c r="P14" i="50"/>
  <c r="S14" i="50"/>
  <c r="T14" i="50" s="1"/>
  <c r="F15" i="50"/>
  <c r="H15" i="50" s="1"/>
  <c r="G15" i="50"/>
  <c r="J15" i="50"/>
  <c r="K15" i="50"/>
  <c r="M15" i="50"/>
  <c r="N15" i="50"/>
  <c r="P15" i="50"/>
  <c r="S15" i="50"/>
  <c r="T15" i="50" s="1"/>
  <c r="F16" i="50"/>
  <c r="H16" i="50" s="1"/>
  <c r="G16" i="50"/>
  <c r="J16" i="50"/>
  <c r="K16" i="50"/>
  <c r="M16" i="50"/>
  <c r="N16" i="50"/>
  <c r="P16" i="50"/>
  <c r="S16" i="50"/>
  <c r="T16" i="50" s="1"/>
  <c r="F17" i="50"/>
  <c r="H17" i="50" s="1"/>
  <c r="G17" i="50"/>
  <c r="J17" i="50"/>
  <c r="K17" i="50"/>
  <c r="M17" i="50"/>
  <c r="N17" i="50"/>
  <c r="P17" i="50"/>
  <c r="S17" i="50"/>
  <c r="T17" i="50" s="1"/>
  <c r="B53" i="49"/>
  <c r="B54" i="49"/>
  <c r="L84" i="47"/>
  <c r="K79" i="47"/>
  <c r="K84" i="47"/>
  <c r="K82" i="47"/>
  <c r="K81" i="47"/>
  <c r="K80" i="47"/>
  <c r="K53" i="47"/>
  <c r="K50" i="47"/>
  <c r="K11" i="47"/>
  <c r="K2" i="47"/>
  <c r="D64" i="46"/>
  <c r="D62" i="46"/>
  <c r="D60" i="46"/>
  <c r="D50" i="46"/>
  <c r="D48" i="46"/>
  <c r="D42" i="46"/>
  <c r="D41" i="46"/>
  <c r="D18" i="46"/>
  <c r="D17" i="46"/>
  <c r="D16" i="46"/>
  <c r="E15" i="12"/>
  <c r="D15" i="12"/>
  <c r="C15" i="12"/>
  <c r="C10" i="12"/>
  <c r="C16" i="12" s="1"/>
  <c r="G14" i="18"/>
  <c r="F14" i="18"/>
  <c r="E14" i="18"/>
  <c r="D14" i="18"/>
  <c r="C14" i="18"/>
  <c r="C19" i="17"/>
  <c r="D29" i="17"/>
  <c r="E29" i="17" s="1"/>
  <c r="F29" i="17" s="1"/>
  <c r="G29" i="17" s="1"/>
  <c r="G26" i="83" l="1"/>
  <c r="G28" i="83" s="1"/>
  <c r="F28" i="83"/>
  <c r="E11" i="21"/>
  <c r="B31" i="2"/>
  <c r="C11" i="21" s="1"/>
  <c r="C41" i="17"/>
  <c r="D41" i="17"/>
  <c r="V32" i="71"/>
  <c r="V33" i="71"/>
  <c r="V34" i="71"/>
  <c r="C34" i="71"/>
  <c r="C33" i="71"/>
  <c r="C32" i="71"/>
  <c r="C35" i="71" s="1"/>
  <c r="C28" i="71"/>
  <c r="F27" i="71"/>
  <c r="P27" i="71"/>
  <c r="H21" i="71"/>
  <c r="K33" i="71"/>
  <c r="K34" i="71"/>
  <c r="K32" i="71"/>
  <c r="K35" i="71" s="1"/>
  <c r="Q27" i="71"/>
  <c r="U32" i="71"/>
  <c r="U33" i="71"/>
  <c r="U34" i="71"/>
  <c r="L34" i="71"/>
  <c r="L32" i="71"/>
  <c r="L33" i="71"/>
  <c r="R27" i="71"/>
  <c r="S32" i="71"/>
  <c r="S33" i="71"/>
  <c r="S34" i="71"/>
  <c r="E27" i="71"/>
  <c r="W27" i="71"/>
  <c r="W28" i="71" s="1"/>
  <c r="M32" i="71"/>
  <c r="M35" i="71" s="1"/>
  <c r="M34" i="71"/>
  <c r="M33" i="71"/>
  <c r="Y33" i="71"/>
  <c r="Y32" i="71"/>
  <c r="Y35" i="71" s="1"/>
  <c r="Y34" i="71"/>
  <c r="W33" i="71"/>
  <c r="W34" i="71"/>
  <c r="W32" i="71"/>
  <c r="W35" i="71" s="1"/>
  <c r="L27" i="71"/>
  <c r="L28" i="71" s="1"/>
  <c r="X27" i="71"/>
  <c r="X34" i="71"/>
  <c r="X32" i="71"/>
  <c r="X28" i="71"/>
  <c r="X33" i="71"/>
  <c r="I32" i="71"/>
  <c r="I33" i="71"/>
  <c r="I34" i="71"/>
  <c r="I27" i="71"/>
  <c r="I28" i="71" s="1"/>
  <c r="M27" i="71"/>
  <c r="M28" i="71" s="1"/>
  <c r="T21" i="71"/>
  <c r="N27" i="71"/>
  <c r="J21" i="71"/>
  <c r="G32" i="71"/>
  <c r="G33" i="71"/>
  <c r="G34" i="71"/>
  <c r="U27" i="71"/>
  <c r="U28" i="71" s="1"/>
  <c r="Y27" i="71"/>
  <c r="Y28" i="71" s="1"/>
  <c r="Z27" i="71"/>
  <c r="O27" i="71"/>
  <c r="G26" i="71"/>
  <c r="S26" i="71"/>
  <c r="H24" i="71"/>
  <c r="T24" i="71"/>
  <c r="I25" i="71"/>
  <c r="U25" i="71"/>
  <c r="J26" i="71"/>
  <c r="V26" i="71"/>
  <c r="O16" i="71"/>
  <c r="J25" i="71"/>
  <c r="J27" i="71" s="1"/>
  <c r="V25" i="71"/>
  <c r="V27" i="71" s="1"/>
  <c r="V28" i="71" s="1"/>
  <c r="K26" i="71"/>
  <c r="K27" i="71" s="1"/>
  <c r="K28" i="71" s="1"/>
  <c r="W26" i="71"/>
  <c r="N12" i="71"/>
  <c r="N15" i="71" s="1"/>
  <c r="N21" i="71" s="1"/>
  <c r="Z12" i="71"/>
  <c r="Z15" i="71" s="1"/>
  <c r="Z21" i="71" s="1"/>
  <c r="T25" i="71"/>
  <c r="O12" i="71"/>
  <c r="O15" i="71" s="1"/>
  <c r="E16" i="71"/>
  <c r="E21" i="71" s="1"/>
  <c r="Q16" i="71"/>
  <c r="Q21" i="71" s="1"/>
  <c r="M26" i="71"/>
  <c r="Y26" i="71"/>
  <c r="G24" i="71"/>
  <c r="G27" i="71" s="1"/>
  <c r="G28" i="71" s="1"/>
  <c r="H25" i="71"/>
  <c r="D12" i="71"/>
  <c r="D15" i="71" s="1"/>
  <c r="D21" i="71" s="1"/>
  <c r="P12" i="71"/>
  <c r="P15" i="71" s="1"/>
  <c r="P21" i="71" s="1"/>
  <c r="N26" i="71"/>
  <c r="Z26" i="71"/>
  <c r="O26" i="71"/>
  <c r="F12" i="71"/>
  <c r="F15" i="71" s="1"/>
  <c r="F21" i="71" s="1"/>
  <c r="R12" i="71"/>
  <c r="R15" i="71" s="1"/>
  <c r="R21" i="71" s="1"/>
  <c r="D26" i="71"/>
  <c r="D27" i="71" s="1"/>
  <c r="P26" i="71"/>
  <c r="S24" i="71"/>
  <c r="S27" i="71" s="1"/>
  <c r="S28" i="71" s="1"/>
  <c r="G42" i="17"/>
  <c r="G25" i="17" s="1"/>
  <c r="G7" i="17"/>
  <c r="F7" i="17"/>
  <c r="F42" i="17"/>
  <c r="F25" i="17" s="1"/>
  <c r="E7" i="17"/>
  <c r="E42" i="17"/>
  <c r="E25" i="17" s="1"/>
  <c r="D7" i="17"/>
  <c r="D42" i="17"/>
  <c r="D25" i="17" s="1"/>
  <c r="C7" i="17"/>
  <c r="C42" i="17"/>
  <c r="C25" i="17" s="1"/>
  <c r="P23" i="53"/>
  <c r="C103" i="55" s="1"/>
  <c r="S17" i="53"/>
  <c r="D36" i="56" s="1"/>
  <c r="D38" i="56"/>
  <c r="P14" i="53"/>
  <c r="C34" i="56" s="1"/>
  <c r="R18" i="53"/>
  <c r="S13" i="53"/>
  <c r="R11" i="53"/>
  <c r="S8" i="53"/>
  <c r="P18" i="53"/>
  <c r="R23" i="53"/>
  <c r="R8" i="53"/>
  <c r="S21" i="53"/>
  <c r="D102" i="55" s="1"/>
  <c r="R20" i="53"/>
  <c r="P7" i="53"/>
  <c r="C94" i="55" s="1"/>
  <c r="S10" i="53"/>
  <c r="P20" i="53"/>
  <c r="S15" i="53"/>
  <c r="Q10" i="53"/>
  <c r="D99" i="55"/>
  <c r="R16" i="53"/>
  <c r="P16" i="53"/>
  <c r="C99" i="55" s="1"/>
  <c r="S14" i="53"/>
  <c r="D34" i="56" s="1"/>
  <c r="D93" i="55"/>
  <c r="S8" i="51"/>
  <c r="R8" i="51" s="1"/>
  <c r="R20" i="51"/>
  <c r="R16" i="51"/>
  <c r="P7" i="51"/>
  <c r="S25" i="51"/>
  <c r="D80" i="55" s="1"/>
  <c r="S21" i="51"/>
  <c r="D77" i="55" s="1"/>
  <c r="S17" i="51"/>
  <c r="D11" i="56" s="1"/>
  <c r="R24" i="51"/>
  <c r="R14" i="51"/>
  <c r="S23" i="51"/>
  <c r="S19" i="51"/>
  <c r="S15" i="51"/>
  <c r="D74" i="55" s="1"/>
  <c r="Q11" i="51"/>
  <c r="S27" i="51"/>
  <c r="D81" i="55" s="1"/>
  <c r="S22" i="51"/>
  <c r="S18" i="51"/>
  <c r="D76" i="55" s="1"/>
  <c r="S14" i="51"/>
  <c r="P14" i="51"/>
  <c r="Q27" i="51"/>
  <c r="R27" i="51" s="1"/>
  <c r="Q22" i="51"/>
  <c r="R22" i="51" s="1"/>
  <c r="Q18" i="51"/>
  <c r="C86" i="55"/>
  <c r="C23" i="56"/>
  <c r="D100" i="55"/>
  <c r="U13" i="50"/>
  <c r="K6" i="53" s="1"/>
  <c r="P6" i="53" s="1"/>
  <c r="C39" i="56" s="1"/>
  <c r="Q13" i="50"/>
  <c r="Q5" i="50"/>
  <c r="U5" i="50"/>
  <c r="K5" i="51" s="1"/>
  <c r="P5" i="51" s="1"/>
  <c r="D78" i="55"/>
  <c r="D13" i="56"/>
  <c r="C26" i="56"/>
  <c r="C90" i="55"/>
  <c r="Q10" i="50"/>
  <c r="U10" i="50" s="1"/>
  <c r="K6" i="52" s="1"/>
  <c r="P6" i="52" s="1"/>
  <c r="C25" i="56" s="1"/>
  <c r="R19" i="52"/>
  <c r="C32" i="56"/>
  <c r="C52" i="56"/>
  <c r="C106" i="55"/>
  <c r="Q17" i="50"/>
  <c r="U17" i="50"/>
  <c r="K12" i="54" s="1"/>
  <c r="P12" i="54" s="1"/>
  <c r="Q8" i="50"/>
  <c r="U8" i="50" s="1"/>
  <c r="K13" i="51" s="1"/>
  <c r="P13" i="51" s="1"/>
  <c r="Q16" i="50"/>
  <c r="U16" i="50"/>
  <c r="K9" i="54" s="1"/>
  <c r="P9" i="54" s="1"/>
  <c r="C48" i="56" s="1"/>
  <c r="Q7" i="50"/>
  <c r="U7" i="50"/>
  <c r="K10" i="51" s="1"/>
  <c r="P10" i="51" s="1"/>
  <c r="Q25" i="52"/>
  <c r="C22" i="55" s="1"/>
  <c r="C29" i="55" s="1"/>
  <c r="C76" i="55"/>
  <c r="C14" i="56"/>
  <c r="C71" i="55"/>
  <c r="Q11" i="50"/>
  <c r="U11" i="50" s="1"/>
  <c r="K9" i="52" s="1"/>
  <c r="P9" i="52" s="1"/>
  <c r="C84" i="55" s="1"/>
  <c r="Q6" i="50"/>
  <c r="U6" i="50"/>
  <c r="K6" i="51" s="1"/>
  <c r="P6" i="51" s="1"/>
  <c r="C7" i="56" s="1"/>
  <c r="R7" i="52"/>
  <c r="R13" i="54"/>
  <c r="C45" i="56"/>
  <c r="U15" i="50"/>
  <c r="K11" i="53" s="1"/>
  <c r="P11" i="53" s="1"/>
  <c r="Q15" i="50"/>
  <c r="Q12" i="50"/>
  <c r="U12" i="50" s="1"/>
  <c r="K5" i="53" s="1"/>
  <c r="P5" i="53" s="1"/>
  <c r="S25" i="52"/>
  <c r="E22" i="55" s="1"/>
  <c r="E29" i="55" s="1"/>
  <c r="D105" i="55"/>
  <c r="R8" i="54"/>
  <c r="Q14" i="50"/>
  <c r="U14" i="50" s="1"/>
  <c r="K9" i="53" s="1"/>
  <c r="P9" i="53" s="1"/>
  <c r="C24" i="56"/>
  <c r="C88" i="55"/>
  <c r="Q9" i="50"/>
  <c r="U9" i="50" s="1"/>
  <c r="K5" i="52" s="1"/>
  <c r="P5" i="52" s="1"/>
  <c r="C101" i="55"/>
  <c r="C37" i="56"/>
  <c r="R16" i="52"/>
  <c r="Q21" i="53"/>
  <c r="R21" i="53" s="1"/>
  <c r="Q17" i="53"/>
  <c r="R17" i="53" s="1"/>
  <c r="Q13" i="53"/>
  <c r="R13" i="53" s="1"/>
  <c r="Q19" i="53"/>
  <c r="R19" i="53" s="1"/>
  <c r="Q15" i="53"/>
  <c r="R15" i="53" s="1"/>
  <c r="Q25" i="51"/>
  <c r="R25" i="51" s="1"/>
  <c r="Q23" i="51"/>
  <c r="R23" i="51" s="1"/>
  <c r="Q21" i="51"/>
  <c r="Q19" i="51"/>
  <c r="R19" i="51" s="1"/>
  <c r="Q17" i="51"/>
  <c r="Q15" i="51"/>
  <c r="R15" i="51" s="1"/>
  <c r="P21" i="53"/>
  <c r="C102" i="55" s="1"/>
  <c r="P19" i="53"/>
  <c r="C35" i="56" s="1"/>
  <c r="P17" i="53"/>
  <c r="C36" i="56" s="1"/>
  <c r="P15" i="53"/>
  <c r="P13" i="53"/>
  <c r="C97" i="55" s="1"/>
  <c r="D54" i="56"/>
  <c r="D24" i="56"/>
  <c r="P25" i="51"/>
  <c r="C80" i="55" s="1"/>
  <c r="P23" i="51"/>
  <c r="P21" i="51"/>
  <c r="C77" i="55" s="1"/>
  <c r="P19" i="51"/>
  <c r="P17" i="51"/>
  <c r="P15" i="51"/>
  <c r="D95" i="55"/>
  <c r="R24" i="52"/>
  <c r="R22" i="52"/>
  <c r="R18" i="52"/>
  <c r="R12" i="52"/>
  <c r="D106" i="55"/>
  <c r="D90" i="55"/>
  <c r="D86" i="55"/>
  <c r="C19" i="56"/>
  <c r="C12" i="56"/>
  <c r="R10" i="51"/>
  <c r="Q12" i="51"/>
  <c r="R12" i="51" s="1"/>
  <c r="Q12" i="53"/>
  <c r="R12" i="53" s="1"/>
  <c r="R12" i="54"/>
  <c r="S7" i="51"/>
  <c r="S28" i="51" s="1"/>
  <c r="E6" i="55" s="1"/>
  <c r="E13" i="55" s="1"/>
  <c r="S7" i="53"/>
  <c r="S7" i="54"/>
  <c r="D49" i="56" s="1"/>
  <c r="S5" i="54"/>
  <c r="D52" i="56"/>
  <c r="D48" i="56"/>
  <c r="D37" i="56"/>
  <c r="D33" i="56"/>
  <c r="S7" i="52"/>
  <c r="D82" i="55" s="1"/>
  <c r="S11" i="54"/>
  <c r="D53" i="56" s="1"/>
  <c r="D97" i="55"/>
  <c r="S9" i="51"/>
  <c r="S21" i="52"/>
  <c r="R21" i="52" s="1"/>
  <c r="S17" i="52"/>
  <c r="D87" i="55" s="1"/>
  <c r="S13" i="52"/>
  <c r="R13" i="52" s="1"/>
  <c r="Q7" i="53"/>
  <c r="S13" i="54"/>
  <c r="D46" i="56" s="1"/>
  <c r="Q5" i="54"/>
  <c r="C89" i="55"/>
  <c r="S11" i="51"/>
  <c r="R11" i="51" s="1"/>
  <c r="Q7" i="51"/>
  <c r="S23" i="52"/>
  <c r="D91" i="55" s="1"/>
  <c r="S19" i="52"/>
  <c r="D88" i="55" s="1"/>
  <c r="S15" i="52"/>
  <c r="S11" i="52"/>
  <c r="D22" i="56" s="1"/>
  <c r="Q7" i="54"/>
  <c r="R7" i="54" s="1"/>
  <c r="Q9" i="51"/>
  <c r="R9" i="51" s="1"/>
  <c r="D40" i="56"/>
  <c r="D25" i="56"/>
  <c r="D10" i="56"/>
  <c r="E27" i="22"/>
  <c r="F27" i="22" s="1"/>
  <c r="G27" i="22" s="1"/>
  <c r="E26" i="22"/>
  <c r="F26" i="22" s="1"/>
  <c r="G26" i="22" s="1"/>
  <c r="E25" i="22"/>
  <c r="F25" i="22" s="1"/>
  <c r="E24" i="22"/>
  <c r="F24" i="22" s="1"/>
  <c r="G24" i="22" s="1"/>
  <c r="F22" i="21"/>
  <c r="F21" i="21"/>
  <c r="F20" i="21"/>
  <c r="F19" i="21"/>
  <c r="F18" i="21"/>
  <c r="G21" i="19"/>
  <c r="F21" i="19"/>
  <c r="E21" i="19"/>
  <c r="D21" i="19"/>
  <c r="C21" i="19"/>
  <c r="G19" i="19"/>
  <c r="F19" i="19"/>
  <c r="G19" i="17" s="1"/>
  <c r="E19" i="19"/>
  <c r="F19" i="17" s="1"/>
  <c r="D19" i="19"/>
  <c r="E19" i="17" s="1"/>
  <c r="C19" i="19"/>
  <c r="D19" i="17" s="1"/>
  <c r="G18" i="18"/>
  <c r="F18" i="18"/>
  <c r="E18" i="18"/>
  <c r="D18" i="18"/>
  <c r="C18" i="18"/>
  <c r="G21" i="16"/>
  <c r="F21" i="16"/>
  <c r="E21" i="16"/>
  <c r="D21" i="16"/>
  <c r="C21" i="16"/>
  <c r="G18" i="16"/>
  <c r="F18" i="16"/>
  <c r="E18" i="16"/>
  <c r="D18" i="16"/>
  <c r="C18" i="16"/>
  <c r="G9" i="16"/>
  <c r="G9" i="15" s="1"/>
  <c r="F9" i="16"/>
  <c r="F9" i="15" s="1"/>
  <c r="E9" i="16"/>
  <c r="E9" i="15" s="1"/>
  <c r="D9" i="16"/>
  <c r="D9" i="15" s="1"/>
  <c r="C9" i="16"/>
  <c r="C9" i="15" s="1"/>
  <c r="G8" i="16"/>
  <c r="G8" i="15" s="1"/>
  <c r="F8" i="16"/>
  <c r="F8" i="15" s="1"/>
  <c r="E8" i="16"/>
  <c r="E8" i="15" s="1"/>
  <c r="D8" i="16"/>
  <c r="D8" i="15" s="1"/>
  <c r="C8" i="16"/>
  <c r="C8" i="15" s="1"/>
  <c r="G11" i="14"/>
  <c r="F11" i="14"/>
  <c r="E11" i="14"/>
  <c r="D11" i="14"/>
  <c r="C11" i="14"/>
  <c r="G10" i="14"/>
  <c r="F10" i="14"/>
  <c r="E10" i="14"/>
  <c r="D10" i="14"/>
  <c r="C10" i="14"/>
  <c r="G7" i="14"/>
  <c r="F7" i="14"/>
  <c r="E7" i="14"/>
  <c r="D7" i="14"/>
  <c r="C7" i="14"/>
  <c r="G6" i="14"/>
  <c r="F6" i="14"/>
  <c r="E6" i="14"/>
  <c r="D6" i="14"/>
  <c r="C6" i="14"/>
  <c r="F10" i="13"/>
  <c r="E10" i="13"/>
  <c r="G9" i="13"/>
  <c r="L14" i="13" s="1"/>
  <c r="G8" i="13"/>
  <c r="G7" i="13"/>
  <c r="G6" i="13"/>
  <c r="G5" i="13"/>
  <c r="G4" i="13"/>
  <c r="H4" i="13" s="1"/>
  <c r="E21" i="12"/>
  <c r="D21" i="12"/>
  <c r="C21" i="12"/>
  <c r="E10" i="12"/>
  <c r="D10" i="12"/>
  <c r="C3" i="12"/>
  <c r="E15" i="11"/>
  <c r="D15" i="11"/>
  <c r="C15" i="11"/>
  <c r="C21" i="11" s="1"/>
  <c r="E10" i="11"/>
  <c r="D10" i="11"/>
  <c r="C10" i="11"/>
  <c r="C3" i="11"/>
  <c r="F9" i="10"/>
  <c r="G40" i="9"/>
  <c r="F40" i="9"/>
  <c r="E40" i="9"/>
  <c r="D40" i="9"/>
  <c r="C40" i="9"/>
  <c r="G34" i="9"/>
  <c r="F34" i="9"/>
  <c r="E34" i="9"/>
  <c r="D34" i="9"/>
  <c r="C34" i="9"/>
  <c r="G15" i="9"/>
  <c r="F15" i="9"/>
  <c r="E15" i="9"/>
  <c r="D15" i="9"/>
  <c r="C15" i="9"/>
  <c r="G14" i="9"/>
  <c r="F14" i="9"/>
  <c r="E14" i="9"/>
  <c r="D14" i="9"/>
  <c r="C14" i="9"/>
  <c r="G7" i="9"/>
  <c r="F7" i="9"/>
  <c r="E7" i="9"/>
  <c r="D7" i="9"/>
  <c r="C7" i="9"/>
  <c r="G6" i="9"/>
  <c r="F6" i="9"/>
  <c r="E6" i="9"/>
  <c r="D6" i="9"/>
  <c r="C6" i="9"/>
  <c r="D23" i="5"/>
  <c r="E15" i="5"/>
  <c r="E16" i="5" s="1"/>
  <c r="G9" i="5"/>
  <c r="G8" i="5"/>
  <c r="G7" i="5"/>
  <c r="G6" i="5"/>
  <c r="G5" i="5"/>
  <c r="B5" i="2"/>
  <c r="E35" i="2" s="1"/>
  <c r="F17" i="15" s="1"/>
  <c r="C4" i="1"/>
  <c r="C29" i="83" l="1"/>
  <c r="K29" i="71"/>
  <c r="K36" i="71"/>
  <c r="L29" i="71"/>
  <c r="M36" i="71"/>
  <c r="M29" i="71"/>
  <c r="I29" i="71"/>
  <c r="I36" i="71"/>
  <c r="G29" i="71"/>
  <c r="G36" i="71"/>
  <c r="Y36" i="71"/>
  <c r="Y29" i="71"/>
  <c r="U29" i="71"/>
  <c r="Q28" i="71"/>
  <c r="Q32" i="71"/>
  <c r="Q33" i="71"/>
  <c r="Q34" i="71"/>
  <c r="V29" i="71"/>
  <c r="S29" i="71"/>
  <c r="S36" i="71"/>
  <c r="E28" i="71"/>
  <c r="E32" i="71"/>
  <c r="E35" i="71" s="1"/>
  <c r="E33" i="71"/>
  <c r="E34" i="71"/>
  <c r="W36" i="71"/>
  <c r="W29" i="71"/>
  <c r="D28" i="71"/>
  <c r="D32" i="71"/>
  <c r="D33" i="71"/>
  <c r="D34" i="71"/>
  <c r="H32" i="71"/>
  <c r="H33" i="71"/>
  <c r="H34" i="71"/>
  <c r="C36" i="71"/>
  <c r="C29" i="71"/>
  <c r="I35" i="71"/>
  <c r="R28" i="71"/>
  <c r="R32" i="71"/>
  <c r="R33" i="71"/>
  <c r="R34" i="71"/>
  <c r="G35" i="71"/>
  <c r="S35" i="71"/>
  <c r="U35" i="71"/>
  <c r="U36" i="71" s="1"/>
  <c r="T27" i="71"/>
  <c r="T28" i="71" s="1"/>
  <c r="J32" i="71"/>
  <c r="J35" i="71" s="1"/>
  <c r="J33" i="71"/>
  <c r="J34" i="71"/>
  <c r="J28" i="71"/>
  <c r="X29" i="71"/>
  <c r="Z33" i="71"/>
  <c r="Z28" i="71"/>
  <c r="Z34" i="71"/>
  <c r="Z32" i="71"/>
  <c r="Z35" i="71" s="1"/>
  <c r="H27" i="71"/>
  <c r="H28" i="71" s="1"/>
  <c r="X35" i="71"/>
  <c r="X36" i="71" s="1"/>
  <c r="F28" i="71"/>
  <c r="F32" i="71"/>
  <c r="F33" i="71"/>
  <c r="F34" i="71"/>
  <c r="N33" i="71"/>
  <c r="N34" i="71"/>
  <c r="N28" i="71"/>
  <c r="N32" i="71"/>
  <c r="N35" i="71" s="1"/>
  <c r="T32" i="71"/>
  <c r="T33" i="71"/>
  <c r="T34" i="71"/>
  <c r="V35" i="71"/>
  <c r="V36" i="71" s="1"/>
  <c r="O21" i="71"/>
  <c r="P28" i="71"/>
  <c r="P32" i="71"/>
  <c r="P33" i="71"/>
  <c r="P34" i="71"/>
  <c r="L35" i="71"/>
  <c r="L36" i="71" s="1"/>
  <c r="R10" i="53"/>
  <c r="R7" i="53"/>
  <c r="D98" i="55"/>
  <c r="R14" i="53"/>
  <c r="C98" i="55"/>
  <c r="D9" i="56"/>
  <c r="R21" i="51"/>
  <c r="R17" i="51"/>
  <c r="C73" i="55"/>
  <c r="R18" i="51"/>
  <c r="D75" i="55"/>
  <c r="C82" i="55"/>
  <c r="C20" i="56"/>
  <c r="P25" i="52"/>
  <c r="C93" i="55"/>
  <c r="E93" i="55" s="1"/>
  <c r="P24" i="53"/>
  <c r="E97" i="55" s="1"/>
  <c r="C33" i="56"/>
  <c r="E84" i="55"/>
  <c r="C38" i="56"/>
  <c r="C95" i="55"/>
  <c r="E14" i="55"/>
  <c r="E15" i="55" s="1"/>
  <c r="C78" i="55"/>
  <c r="C13" i="56"/>
  <c r="D70" i="55"/>
  <c r="D94" i="55"/>
  <c r="S24" i="53"/>
  <c r="E38" i="55" s="1"/>
  <c r="E45" i="55" s="1"/>
  <c r="D85" i="55"/>
  <c r="D19" i="56"/>
  <c r="D14" i="56"/>
  <c r="D71" i="55"/>
  <c r="R17" i="52"/>
  <c r="R11" i="52"/>
  <c r="C105" i="55"/>
  <c r="E105" i="55" s="1"/>
  <c r="C54" i="56"/>
  <c r="R23" i="52"/>
  <c r="E31" i="55"/>
  <c r="E30" i="55"/>
  <c r="R7" i="51"/>
  <c r="R28" i="51" s="1"/>
  <c r="D6" i="55" s="1"/>
  <c r="D13" i="55" s="1"/>
  <c r="Q28" i="51"/>
  <c r="C6" i="55" s="1"/>
  <c r="C13" i="55" s="1"/>
  <c r="E88" i="55"/>
  <c r="C30" i="55"/>
  <c r="C31" i="55" s="1"/>
  <c r="D21" i="56"/>
  <c r="D89" i="55"/>
  <c r="D6" i="56"/>
  <c r="D73" i="55"/>
  <c r="C10" i="56"/>
  <c r="C72" i="55"/>
  <c r="C70" i="55"/>
  <c r="C8" i="56"/>
  <c r="P28" i="51"/>
  <c r="E86" i="55"/>
  <c r="Q24" i="53"/>
  <c r="C38" i="55" s="1"/>
  <c r="C45" i="55" s="1"/>
  <c r="E89" i="55"/>
  <c r="E102" i="55"/>
  <c r="C40" i="56"/>
  <c r="C96" i="55"/>
  <c r="E96" i="55" s="1"/>
  <c r="E106" i="55"/>
  <c r="D104" i="55"/>
  <c r="S15" i="54"/>
  <c r="E54" i="55" s="1"/>
  <c r="E61" i="55" s="1"/>
  <c r="D45" i="56"/>
  <c r="R5" i="54"/>
  <c r="R15" i="54" s="1"/>
  <c r="D54" i="55" s="1"/>
  <c r="D61" i="55" s="1"/>
  <c r="Q15" i="54"/>
  <c r="C54" i="55" s="1"/>
  <c r="C61" i="55" s="1"/>
  <c r="C11" i="56"/>
  <c r="C75" i="55"/>
  <c r="C104" i="55"/>
  <c r="E104" i="55" s="1"/>
  <c r="R15" i="52"/>
  <c r="C100" i="55"/>
  <c r="R11" i="54"/>
  <c r="C74" i="55"/>
  <c r="C9" i="56"/>
  <c r="P15" i="54"/>
  <c r="B54" i="55" s="1"/>
  <c r="B61" i="55" s="1"/>
  <c r="D84" i="55"/>
  <c r="E90" i="55"/>
  <c r="I7" i="13"/>
  <c r="K14" i="13"/>
  <c r="J14" i="13"/>
  <c r="I14" i="13"/>
  <c r="H14" i="13"/>
  <c r="G14" i="13"/>
  <c r="D16" i="12"/>
  <c r="D17" i="12" s="1"/>
  <c r="E16" i="12"/>
  <c r="E17" i="12" s="1"/>
  <c r="E20" i="12" s="1"/>
  <c r="C32" i="22"/>
  <c r="G25" i="22"/>
  <c r="C33" i="22" s="1"/>
  <c r="I5" i="13"/>
  <c r="F14" i="13"/>
  <c r="E14" i="13"/>
  <c r="D14" i="13"/>
  <c r="E22" i="2"/>
  <c r="C16" i="11"/>
  <c r="D8" i="9"/>
  <c r="D23" i="9" s="1"/>
  <c r="D25" i="9" s="1"/>
  <c r="F16" i="9"/>
  <c r="F7" i="16" s="1"/>
  <c r="F7" i="15" s="1"/>
  <c r="G16" i="9"/>
  <c r="G9" i="14" s="1"/>
  <c r="G10" i="5"/>
  <c r="G10" i="13"/>
  <c r="E15" i="2"/>
  <c r="E16" i="15" s="1"/>
  <c r="C24" i="12"/>
  <c r="E16" i="2"/>
  <c r="C17" i="12"/>
  <c r="C20" i="12" s="1"/>
  <c r="H5" i="13"/>
  <c r="H6" i="13" s="1"/>
  <c r="H7" i="13" s="1"/>
  <c r="H8" i="13" s="1"/>
  <c r="H9" i="13" s="1"/>
  <c r="H10" i="13" s="1"/>
  <c r="I10" i="13" s="1"/>
  <c r="E17" i="2"/>
  <c r="E23" i="2"/>
  <c r="E31" i="2"/>
  <c r="C16" i="9"/>
  <c r="C9" i="14" s="1"/>
  <c r="D16" i="16"/>
  <c r="E32" i="2"/>
  <c r="C8" i="9"/>
  <c r="C6" i="16" s="1"/>
  <c r="E33" i="2"/>
  <c r="E16" i="9"/>
  <c r="E12" i="16" s="1"/>
  <c r="E34" i="2"/>
  <c r="D16" i="9"/>
  <c r="D9" i="14" s="1"/>
  <c r="F8" i="9"/>
  <c r="F6" i="16" s="1"/>
  <c r="F6" i="15" s="1"/>
  <c r="G8" i="9"/>
  <c r="G8" i="14" s="1"/>
  <c r="C18" i="11"/>
  <c r="C17" i="11"/>
  <c r="C20" i="11" s="1"/>
  <c r="C19" i="11"/>
  <c r="E8" i="9"/>
  <c r="D21" i="11"/>
  <c r="C29" i="11" s="1"/>
  <c r="D16" i="11"/>
  <c r="C25" i="11" s="1"/>
  <c r="E19" i="12"/>
  <c r="E18" i="12"/>
  <c r="E21" i="11"/>
  <c r="E16" i="11"/>
  <c r="E13" i="2"/>
  <c r="E29" i="2"/>
  <c r="G17" i="15"/>
  <c r="D8" i="14"/>
  <c r="E37" i="2"/>
  <c r="E14" i="2"/>
  <c r="E30" i="2"/>
  <c r="C30" i="9"/>
  <c r="E24" i="2"/>
  <c r="E36" i="2"/>
  <c r="D30" i="9"/>
  <c r="E25" i="2"/>
  <c r="E10" i="2"/>
  <c r="C16" i="13" s="1"/>
  <c r="E26" i="2"/>
  <c r="F30" i="9"/>
  <c r="C28" i="12"/>
  <c r="D17" i="15"/>
  <c r="E30" i="9"/>
  <c r="C17" i="15"/>
  <c r="E11" i="2"/>
  <c r="E27" i="2"/>
  <c r="G30" i="9"/>
  <c r="C24" i="11"/>
  <c r="E17" i="15"/>
  <c r="E9" i="2"/>
  <c r="E12" i="2"/>
  <c r="E28" i="2"/>
  <c r="Y41" i="71" l="1"/>
  <c r="M41" i="71"/>
  <c r="X41" i="71"/>
  <c r="L41" i="71"/>
  <c r="W41" i="71"/>
  <c r="K41" i="71"/>
  <c r="S41" i="71"/>
  <c r="V41" i="71"/>
  <c r="J41" i="71"/>
  <c r="U41" i="71"/>
  <c r="I41" i="71"/>
  <c r="T41" i="71"/>
  <c r="H41" i="71"/>
  <c r="C41" i="71"/>
  <c r="G41" i="71"/>
  <c r="R41" i="71"/>
  <c r="F41" i="71"/>
  <c r="Q41" i="71"/>
  <c r="E41" i="71"/>
  <c r="P41" i="71"/>
  <c r="D41" i="71"/>
  <c r="Z41" i="71"/>
  <c r="O41" i="71"/>
  <c r="N41" i="71"/>
  <c r="L48" i="71"/>
  <c r="L37" i="71"/>
  <c r="L40" i="71"/>
  <c r="X48" i="71"/>
  <c r="X37" i="71"/>
  <c r="X40" i="71"/>
  <c r="T29" i="71"/>
  <c r="T36" i="71"/>
  <c r="V48" i="71"/>
  <c r="V37" i="71"/>
  <c r="V40" i="71"/>
  <c r="U48" i="71"/>
  <c r="U37" i="71"/>
  <c r="U40" i="71"/>
  <c r="H29" i="71"/>
  <c r="H36" i="71"/>
  <c r="Y37" i="71"/>
  <c r="Y40" i="71"/>
  <c r="Y46" i="71" s="1"/>
  <c r="Y48" i="71"/>
  <c r="H35" i="71"/>
  <c r="S48" i="71"/>
  <c r="S40" i="71"/>
  <c r="S46" i="71" s="1"/>
  <c r="S37" i="71"/>
  <c r="G48" i="71"/>
  <c r="G40" i="71"/>
  <c r="G37" i="71"/>
  <c r="E36" i="71"/>
  <c r="E29" i="71"/>
  <c r="I48" i="71"/>
  <c r="I37" i="71"/>
  <c r="I40" i="71"/>
  <c r="N36" i="71"/>
  <c r="N29" i="71"/>
  <c r="D35" i="71"/>
  <c r="Z36" i="71"/>
  <c r="Z29" i="71"/>
  <c r="R35" i="71"/>
  <c r="R36" i="71" s="1"/>
  <c r="D29" i="71"/>
  <c r="D36" i="71"/>
  <c r="M37" i="71"/>
  <c r="M40" i="71"/>
  <c r="M48" i="71"/>
  <c r="R29" i="71"/>
  <c r="Q35" i="71"/>
  <c r="Q36" i="71" s="1"/>
  <c r="F29" i="71"/>
  <c r="F36" i="71"/>
  <c r="T35" i="71"/>
  <c r="P35" i="71"/>
  <c r="P36" i="71" s="1"/>
  <c r="J36" i="71"/>
  <c r="J29" i="71"/>
  <c r="W48" i="71"/>
  <c r="W37" i="71"/>
  <c r="W40" i="71"/>
  <c r="Q29" i="71"/>
  <c r="P29" i="71"/>
  <c r="K48" i="71"/>
  <c r="K37" i="71"/>
  <c r="K40" i="71"/>
  <c r="O28" i="71"/>
  <c r="O34" i="71"/>
  <c r="O32" i="71"/>
  <c r="O33" i="71"/>
  <c r="F35" i="71"/>
  <c r="C48" i="71"/>
  <c r="C40" i="71"/>
  <c r="C46" i="71" s="1"/>
  <c r="C37" i="71"/>
  <c r="R24" i="53"/>
  <c r="D38" i="55" s="1"/>
  <c r="D45" i="55" s="1"/>
  <c r="E77" i="55"/>
  <c r="E111" i="55"/>
  <c r="C32" i="55"/>
  <c r="C33" i="55"/>
  <c r="E16" i="55"/>
  <c r="E17" i="55"/>
  <c r="F110" i="55"/>
  <c r="E46" i="55"/>
  <c r="E47" i="55" s="1"/>
  <c r="R25" i="52"/>
  <c r="D22" i="55" s="1"/>
  <c r="D29" i="55" s="1"/>
  <c r="B38" i="55"/>
  <c r="B45" i="55" s="1"/>
  <c r="E94" i="55"/>
  <c r="E103" i="55"/>
  <c r="D62" i="55"/>
  <c r="D63" i="55"/>
  <c r="C14" i="55"/>
  <c r="C15" i="55" s="1"/>
  <c r="E78" i="55"/>
  <c r="E75" i="55"/>
  <c r="B62" i="55"/>
  <c r="B63" i="55"/>
  <c r="E54" i="56" s="1"/>
  <c r="D14" i="55"/>
  <c r="D15" i="55" s="1"/>
  <c r="E76" i="55"/>
  <c r="E98" i="55"/>
  <c r="B6" i="55"/>
  <c r="B13" i="55" s="1"/>
  <c r="E79" i="55"/>
  <c r="E81" i="55"/>
  <c r="E71" i="55"/>
  <c r="E73" i="55"/>
  <c r="C62" i="55"/>
  <c r="C63" i="55" s="1"/>
  <c r="C46" i="55"/>
  <c r="C47" i="55" s="1"/>
  <c r="E99" i="55"/>
  <c r="B22" i="55"/>
  <c r="B29" i="55" s="1"/>
  <c r="E91" i="55"/>
  <c r="E87" i="55"/>
  <c r="E85" i="55"/>
  <c r="E83" i="55"/>
  <c r="E92" i="55"/>
  <c r="E70" i="55"/>
  <c r="E72" i="55"/>
  <c r="E74" i="55"/>
  <c r="E100" i="55"/>
  <c r="F111" i="55"/>
  <c r="E32" i="55"/>
  <c r="E33" i="55"/>
  <c r="E95" i="55"/>
  <c r="E62" i="55"/>
  <c r="E63" i="55" s="1"/>
  <c r="E101" i="55"/>
  <c r="E80" i="55"/>
  <c r="E82" i="55"/>
  <c r="E5" i="10"/>
  <c r="E6" i="10"/>
  <c r="C25" i="12"/>
  <c r="D20" i="12"/>
  <c r="C27" i="12" s="1"/>
  <c r="E9" i="1"/>
  <c r="D9" i="21"/>
  <c r="D18" i="12"/>
  <c r="F35" i="9"/>
  <c r="F37" i="9" s="1"/>
  <c r="C15" i="16"/>
  <c r="C17" i="13"/>
  <c r="D19" i="12"/>
  <c r="C26" i="12" s="1"/>
  <c r="C9" i="9"/>
  <c r="G9" i="9"/>
  <c r="F9" i="9"/>
  <c r="E9" i="9"/>
  <c r="E14" i="14" s="1"/>
  <c r="D9" i="9"/>
  <c r="F9" i="14"/>
  <c r="F11" i="16"/>
  <c r="F27" i="1" s="1"/>
  <c r="F15" i="16"/>
  <c r="D6" i="16"/>
  <c r="D6" i="15" s="1"/>
  <c r="G7" i="16"/>
  <c r="G7" i="15" s="1"/>
  <c r="G11" i="16"/>
  <c r="G27" i="1" s="1"/>
  <c r="G15" i="16"/>
  <c r="G12" i="16"/>
  <c r="C12" i="16"/>
  <c r="C11" i="16"/>
  <c r="C27" i="1" s="1"/>
  <c r="C7" i="16"/>
  <c r="C7" i="15" s="1"/>
  <c r="E9" i="14"/>
  <c r="E29" i="9"/>
  <c r="F12" i="16"/>
  <c r="D29" i="9"/>
  <c r="C16" i="15"/>
  <c r="C8" i="14"/>
  <c r="C29" i="9"/>
  <c r="D7" i="16"/>
  <c r="D7" i="15" s="1"/>
  <c r="C18" i="12"/>
  <c r="C19" i="12"/>
  <c r="D15" i="16"/>
  <c r="G29" i="9"/>
  <c r="E15" i="16"/>
  <c r="G16" i="15"/>
  <c r="E7" i="16"/>
  <c r="E7" i="15" s="1"/>
  <c r="E11" i="16"/>
  <c r="E27" i="1" s="1"/>
  <c r="F16" i="15"/>
  <c r="C6" i="15"/>
  <c r="D6" i="20"/>
  <c r="C6" i="20"/>
  <c r="G6" i="20"/>
  <c r="F6" i="20"/>
  <c r="E6" i="20"/>
  <c r="G6" i="16"/>
  <c r="G6" i="15" s="1"/>
  <c r="C16" i="16"/>
  <c r="G7" i="20"/>
  <c r="F7" i="20"/>
  <c r="E7" i="20"/>
  <c r="D7" i="20"/>
  <c r="C7" i="20"/>
  <c r="C23" i="9"/>
  <c r="C25" i="9" s="1"/>
  <c r="D16" i="15"/>
  <c r="F29" i="9"/>
  <c r="G23" i="9"/>
  <c r="G25" i="9" s="1"/>
  <c r="G16" i="16"/>
  <c r="F23" i="9"/>
  <c r="F25" i="9" s="1"/>
  <c r="D11" i="16"/>
  <c r="D27" i="1" s="1"/>
  <c r="F16" i="16"/>
  <c r="F8" i="14"/>
  <c r="D12" i="16"/>
  <c r="D35" i="9"/>
  <c r="D37" i="9" s="1"/>
  <c r="D18" i="11"/>
  <c r="D17" i="11"/>
  <c r="D19" i="11"/>
  <c r="C27" i="11" s="1"/>
  <c r="C42" i="9"/>
  <c r="D42" i="9"/>
  <c r="D18" i="9"/>
  <c r="E8" i="10"/>
  <c r="C18" i="9"/>
  <c r="F18" i="9"/>
  <c r="E18" i="9"/>
  <c r="G18" i="9"/>
  <c r="E7" i="10"/>
  <c r="F7" i="10" s="1"/>
  <c r="E23" i="9"/>
  <c r="E25" i="9" s="1"/>
  <c r="E8" i="14"/>
  <c r="E16" i="16"/>
  <c r="E6" i="16"/>
  <c r="E6" i="15" s="1"/>
  <c r="C35" i="9"/>
  <c r="C37" i="9" s="1"/>
  <c r="F5" i="10"/>
  <c r="G10" i="9"/>
  <c r="F6" i="10"/>
  <c r="F10" i="9"/>
  <c r="E10" i="9"/>
  <c r="D10" i="9"/>
  <c r="C10" i="9"/>
  <c r="E17" i="11"/>
  <c r="E20" i="11" s="1"/>
  <c r="E18" i="11"/>
  <c r="E19" i="11"/>
  <c r="F10" i="15"/>
  <c r="F13" i="15" s="1"/>
  <c r="F15" i="15" s="1"/>
  <c r="E10" i="10"/>
  <c r="F10" i="10" s="1"/>
  <c r="F10" i="16"/>
  <c r="G42" i="9"/>
  <c r="F42" i="9"/>
  <c r="E42" i="9"/>
  <c r="E35" i="9"/>
  <c r="E37" i="9" s="1"/>
  <c r="G15" i="14"/>
  <c r="E15" i="14"/>
  <c r="F15" i="14"/>
  <c r="G17" i="9"/>
  <c r="D15" i="14"/>
  <c r="E17" i="9"/>
  <c r="D17" i="9"/>
  <c r="F17" i="9"/>
  <c r="C15" i="14"/>
  <c r="C17" i="9"/>
  <c r="G35" i="9"/>
  <c r="G37" i="9" s="1"/>
  <c r="V46" i="71" l="1"/>
  <c r="W46" i="71"/>
  <c r="K46" i="71"/>
  <c r="X46" i="71"/>
  <c r="M46" i="71"/>
  <c r="L46" i="71"/>
  <c r="I46" i="71"/>
  <c r="U46" i="71"/>
  <c r="B55" i="71"/>
  <c r="G19" i="20"/>
  <c r="G17" i="17" s="1"/>
  <c r="F19" i="20"/>
  <c r="F17" i="17" s="1"/>
  <c r="G46" i="71"/>
  <c r="P40" i="71"/>
  <c r="P46" i="71" s="1"/>
  <c r="P48" i="71"/>
  <c r="P37" i="71"/>
  <c r="Q48" i="71"/>
  <c r="Q37" i="71"/>
  <c r="Q40" i="71"/>
  <c r="Q46" i="71" s="1"/>
  <c r="R37" i="71"/>
  <c r="R48" i="71"/>
  <c r="R40" i="71"/>
  <c r="R46" i="71" s="1"/>
  <c r="E37" i="71"/>
  <c r="E48" i="71"/>
  <c r="E40" i="71"/>
  <c r="E46" i="71" s="1"/>
  <c r="C47" i="71"/>
  <c r="J48" i="71"/>
  <c r="J37" i="71"/>
  <c r="J40" i="71"/>
  <c r="J46" i="71" s="1"/>
  <c r="Z48" i="71"/>
  <c r="Z37" i="71"/>
  <c r="Z40" i="71"/>
  <c r="Z46" i="71" s="1"/>
  <c r="N37" i="71"/>
  <c r="N40" i="71"/>
  <c r="N46" i="71" s="1"/>
  <c r="N48" i="71"/>
  <c r="F40" i="71"/>
  <c r="F46" i="71" s="1"/>
  <c r="F37" i="71"/>
  <c r="F48" i="71"/>
  <c r="H48" i="71"/>
  <c r="H37" i="71"/>
  <c r="H40" i="71"/>
  <c r="H46" i="71" s="1"/>
  <c r="O35" i="71"/>
  <c r="D40" i="71"/>
  <c r="D46" i="71" s="1"/>
  <c r="D48" i="71"/>
  <c r="D37" i="71"/>
  <c r="T48" i="71"/>
  <c r="T37" i="71"/>
  <c r="T40" i="71"/>
  <c r="T46" i="71" s="1"/>
  <c r="O29" i="71"/>
  <c r="O36" i="71"/>
  <c r="D46" i="55"/>
  <c r="D47" i="55"/>
  <c r="E64" i="55"/>
  <c r="F113" i="55"/>
  <c r="E65" i="55"/>
  <c r="E48" i="55"/>
  <c r="F112" i="55"/>
  <c r="F114" i="55" s="1"/>
  <c r="E49" i="55"/>
  <c r="C17" i="55"/>
  <c r="C16" i="55"/>
  <c r="E110" i="55"/>
  <c r="D16" i="55"/>
  <c r="D17" i="55"/>
  <c r="C65" i="55"/>
  <c r="E113" i="55"/>
  <c r="C64" i="55"/>
  <c r="D30" i="55"/>
  <c r="D31" i="55" s="1"/>
  <c r="B14" i="55"/>
  <c r="B15" i="55" s="1"/>
  <c r="B30" i="55"/>
  <c r="B31" i="55"/>
  <c r="C48" i="55"/>
  <c r="E112" i="55"/>
  <c r="C49" i="55"/>
  <c r="D65" i="55"/>
  <c r="D64" i="55"/>
  <c r="B65" i="55"/>
  <c r="D113" i="55"/>
  <c r="B64" i="55"/>
  <c r="E53" i="56"/>
  <c r="E50" i="56"/>
  <c r="E51" i="56"/>
  <c r="E47" i="56"/>
  <c r="E49" i="56"/>
  <c r="E46" i="56"/>
  <c r="E48" i="56"/>
  <c r="E45" i="56"/>
  <c r="E52" i="56"/>
  <c r="B46" i="55"/>
  <c r="B47" i="55" s="1"/>
  <c r="G10" i="15"/>
  <c r="G13" i="15" s="1"/>
  <c r="G15" i="15" s="1"/>
  <c r="E23" i="15" s="1"/>
  <c r="D10" i="15"/>
  <c r="D13" i="15" s="1"/>
  <c r="D15" i="15" s="1"/>
  <c r="C10" i="16"/>
  <c r="C28" i="9" s="1"/>
  <c r="C31" i="9" s="1"/>
  <c r="C10" i="15"/>
  <c r="C13" i="15" s="1"/>
  <c r="C15" i="15" s="1"/>
  <c r="C18" i="15" s="1"/>
  <c r="H25" i="9"/>
  <c r="F18" i="15"/>
  <c r="D10" i="16"/>
  <c r="D26" i="1" s="1"/>
  <c r="D18" i="15"/>
  <c r="D11" i="20"/>
  <c r="D12" i="18" s="1"/>
  <c r="D13" i="18" s="1"/>
  <c r="G19" i="9"/>
  <c r="E11" i="20"/>
  <c r="E12" i="18" s="1"/>
  <c r="E13" i="18" s="1"/>
  <c r="G11" i="20"/>
  <c r="G12" i="18" s="1"/>
  <c r="G13" i="18" s="1"/>
  <c r="C19" i="9"/>
  <c r="E19" i="20"/>
  <c r="E17" i="17" s="1"/>
  <c r="D19" i="20"/>
  <c r="D17" i="17" s="1"/>
  <c r="C19" i="20"/>
  <c r="C17" i="17" s="1"/>
  <c r="G10" i="16"/>
  <c r="G9" i="1" s="1"/>
  <c r="E11" i="9"/>
  <c r="D19" i="9"/>
  <c r="G14" i="14"/>
  <c r="G11" i="9"/>
  <c r="D20" i="11"/>
  <c r="C28" i="11" s="1"/>
  <c r="C26" i="11"/>
  <c r="C11" i="20"/>
  <c r="F19" i="9"/>
  <c r="F28" i="9"/>
  <c r="F31" i="9" s="1"/>
  <c r="F26" i="1"/>
  <c r="G23" i="15"/>
  <c r="F23" i="15"/>
  <c r="F11" i="20"/>
  <c r="F12" i="18" s="1"/>
  <c r="F13" i="18" s="1"/>
  <c r="F14" i="14"/>
  <c r="F11" i="9"/>
  <c r="C14" i="14"/>
  <c r="C11" i="9"/>
  <c r="D14" i="14"/>
  <c r="D11" i="9"/>
  <c r="E19" i="9"/>
  <c r="E10" i="15"/>
  <c r="E13" i="15" s="1"/>
  <c r="E15" i="15" s="1"/>
  <c r="E18" i="15" s="1"/>
  <c r="E10" i="16"/>
  <c r="E47" i="71" l="1"/>
  <c r="D47" i="71"/>
  <c r="D49" i="71" s="1"/>
  <c r="F47" i="71"/>
  <c r="F49" i="71" s="1"/>
  <c r="N47" i="71"/>
  <c r="I47" i="71"/>
  <c r="O37" i="71"/>
  <c r="O48" i="71"/>
  <c r="O40" i="71"/>
  <c r="O46" i="71" s="1"/>
  <c r="T47" i="71" s="1"/>
  <c r="F50" i="71"/>
  <c r="L47" i="71"/>
  <c r="K47" i="71"/>
  <c r="C49" i="71"/>
  <c r="C50" i="71" s="1"/>
  <c r="E49" i="71"/>
  <c r="E50" i="71" s="1"/>
  <c r="D50" i="71"/>
  <c r="G47" i="71"/>
  <c r="M47" i="71"/>
  <c r="H47" i="71"/>
  <c r="J47" i="71"/>
  <c r="D49" i="55"/>
  <c r="D48" i="55"/>
  <c r="E114" i="55"/>
  <c r="D32" i="55"/>
  <c r="D33" i="55"/>
  <c r="B48" i="55"/>
  <c r="D112" i="55"/>
  <c r="B49" i="55"/>
  <c r="E41" i="56"/>
  <c r="E32" i="56"/>
  <c r="E35" i="56"/>
  <c r="E36" i="56"/>
  <c r="E39" i="56"/>
  <c r="E34" i="56"/>
  <c r="E37" i="56"/>
  <c r="E40" i="56"/>
  <c r="E38" i="56"/>
  <c r="E33" i="56"/>
  <c r="B32" i="55"/>
  <c r="B33" i="55"/>
  <c r="E28" i="56"/>
  <c r="D111" i="55"/>
  <c r="E27" i="56"/>
  <c r="E22" i="56"/>
  <c r="E21" i="56"/>
  <c r="E26" i="56"/>
  <c r="E25" i="56"/>
  <c r="E24" i="56"/>
  <c r="E19" i="56"/>
  <c r="E23" i="56"/>
  <c r="E20" i="56"/>
  <c r="D110" i="55"/>
  <c r="B16" i="55"/>
  <c r="B17" i="55"/>
  <c r="E15" i="56"/>
  <c r="E6" i="56"/>
  <c r="E12" i="56"/>
  <c r="E7" i="56"/>
  <c r="E14" i="56"/>
  <c r="E11" i="56"/>
  <c r="E10" i="56"/>
  <c r="E9" i="56"/>
  <c r="E8" i="56"/>
  <c r="E13" i="56"/>
  <c r="C23" i="15"/>
  <c r="G18" i="15"/>
  <c r="D23" i="15"/>
  <c r="C26" i="1"/>
  <c r="H19" i="9"/>
  <c r="D28" i="9"/>
  <c r="D31" i="9" s="1"/>
  <c r="D50" i="9" s="1"/>
  <c r="D6" i="17" s="1"/>
  <c r="E21" i="14"/>
  <c r="G28" i="9"/>
  <c r="G31" i="9" s="1"/>
  <c r="G50" i="9" s="1"/>
  <c r="G26" i="1"/>
  <c r="C21" i="14"/>
  <c r="C50" i="9"/>
  <c r="C6" i="17" s="1"/>
  <c r="F50" i="9"/>
  <c r="F6" i="17" s="1"/>
  <c r="F21" i="14"/>
  <c r="E10" i="19"/>
  <c r="D10" i="19"/>
  <c r="C10" i="19"/>
  <c r="G10" i="19"/>
  <c r="C12" i="18"/>
  <c r="C13" i="18" s="1"/>
  <c r="H11" i="20"/>
  <c r="D11" i="21" s="1"/>
  <c r="F10" i="19"/>
  <c r="E26" i="1"/>
  <c r="E28" i="9"/>
  <c r="E31" i="9" s="1"/>
  <c r="E50" i="9" s="1"/>
  <c r="E6" i="17" s="1"/>
  <c r="H11" i="9"/>
  <c r="G21" i="14"/>
  <c r="D21" i="14"/>
  <c r="P47" i="71" l="1"/>
  <c r="T49" i="71"/>
  <c r="T50" i="71" s="1"/>
  <c r="G49" i="71"/>
  <c r="G50" i="71" s="1"/>
  <c r="J49" i="71"/>
  <c r="J50" i="71" s="1"/>
  <c r="O47" i="71"/>
  <c r="W47" i="71"/>
  <c r="S47" i="71"/>
  <c r="P49" i="71"/>
  <c r="P50" i="71" s="1"/>
  <c r="Y47" i="71"/>
  <c r="I49" i="71"/>
  <c r="I50" i="71" s="1"/>
  <c r="N49" i="71"/>
  <c r="N50" i="71" s="1"/>
  <c r="U47" i="71"/>
  <c r="L49" i="71"/>
  <c r="L50" i="71" s="1"/>
  <c r="H49" i="71"/>
  <c r="H50" i="71" s="1"/>
  <c r="R47" i="71"/>
  <c r="V47" i="71"/>
  <c r="X47" i="71"/>
  <c r="K49" i="71"/>
  <c r="K50" i="71" s="1"/>
  <c r="Q47" i="71"/>
  <c r="Z47" i="71"/>
  <c r="B57" i="71" s="1"/>
  <c r="M49" i="71"/>
  <c r="M50" i="71" s="1"/>
  <c r="D114" i="55"/>
  <c r="D13" i="17"/>
  <c r="D12" i="17"/>
  <c r="D14" i="17"/>
  <c r="F13" i="17"/>
  <c r="F12" i="17"/>
  <c r="F14" i="17"/>
  <c r="F17" i="19"/>
  <c r="F20" i="19" s="1"/>
  <c r="C17" i="19"/>
  <c r="C20" i="19" s="1"/>
  <c r="C13" i="17"/>
  <c r="C12" i="17"/>
  <c r="C22" i="14" s="1"/>
  <c r="C14" i="17"/>
  <c r="E13" i="17"/>
  <c r="E12" i="17"/>
  <c r="E14" i="17"/>
  <c r="E17" i="19"/>
  <c r="E20" i="19" s="1"/>
  <c r="G6" i="17"/>
  <c r="D5" i="21" s="1"/>
  <c r="C60" i="9"/>
  <c r="C59" i="9"/>
  <c r="C55" i="9"/>
  <c r="C57" i="9"/>
  <c r="C58" i="9"/>
  <c r="C54" i="9"/>
  <c r="C53" i="9"/>
  <c r="C56" i="9"/>
  <c r="D14" i="1"/>
  <c r="D7" i="19"/>
  <c r="D17" i="19"/>
  <c r="D20" i="19" s="1"/>
  <c r="D8" i="17"/>
  <c r="D7" i="18"/>
  <c r="C7" i="19"/>
  <c r="C14" i="1"/>
  <c r="F7" i="18"/>
  <c r="F7" i="19"/>
  <c r="F14" i="1"/>
  <c r="E7" i="18"/>
  <c r="E7" i="19"/>
  <c r="E14" i="1"/>
  <c r="F22" i="14" l="1"/>
  <c r="F15" i="17"/>
  <c r="E22" i="14"/>
  <c r="E15" i="17"/>
  <c r="D22" i="14"/>
  <c r="D15" i="17"/>
  <c r="B59" i="71"/>
  <c r="B58" i="71"/>
  <c r="X49" i="71"/>
  <c r="X50" i="71" s="1"/>
  <c r="R49" i="71"/>
  <c r="R50" i="71" s="1"/>
  <c r="V49" i="71"/>
  <c r="V50" i="71" s="1"/>
  <c r="W49" i="71"/>
  <c r="W50" i="71" s="1"/>
  <c r="Y49" i="71"/>
  <c r="Y50" i="71" s="1"/>
  <c r="S49" i="71"/>
  <c r="S50" i="71" s="1"/>
  <c r="O49" i="71"/>
  <c r="O50" i="71" s="1"/>
  <c r="U49" i="71"/>
  <c r="U50" i="71" s="1"/>
  <c r="Z49" i="71"/>
  <c r="Z50" i="71" s="1"/>
  <c r="Q49" i="71"/>
  <c r="Q50" i="71" s="1"/>
  <c r="E8" i="18"/>
  <c r="C8" i="18"/>
  <c r="G12" i="17"/>
  <c r="G14" i="17"/>
  <c r="G17" i="19"/>
  <c r="G20" i="19" s="1"/>
  <c r="G13" i="17"/>
  <c r="F8" i="18"/>
  <c r="D8" i="18"/>
  <c r="F8" i="17"/>
  <c r="F15" i="1" s="1"/>
  <c r="G11" i="19"/>
  <c r="G12" i="19" s="1"/>
  <c r="F11" i="19"/>
  <c r="F12" i="19" s="1"/>
  <c r="E11" i="19"/>
  <c r="E12" i="19" s="1"/>
  <c r="D11" i="19"/>
  <c r="D12" i="19" s="1"/>
  <c r="C11" i="19"/>
  <c r="C12" i="19" s="1"/>
  <c r="C7" i="18"/>
  <c r="D15" i="1"/>
  <c r="D9" i="17"/>
  <c r="D23" i="14" s="1"/>
  <c r="C8" i="17"/>
  <c r="E8" i="17"/>
  <c r="G7" i="18"/>
  <c r="B9" i="1"/>
  <c r="G7" i="19"/>
  <c r="G14" i="1"/>
  <c r="G22" i="14" l="1"/>
  <c r="G15" i="17"/>
  <c r="B10" i="90"/>
  <c r="E10" i="90" s="1"/>
  <c r="F7" i="87"/>
  <c r="F14" i="85"/>
  <c r="F28" i="85"/>
  <c r="F42" i="85"/>
  <c r="E7" i="87"/>
  <c r="E14" i="85"/>
  <c r="E28" i="85"/>
  <c r="E42" i="85"/>
  <c r="D7" i="87"/>
  <c r="D14" i="85"/>
  <c r="D28" i="85"/>
  <c r="D42" i="85"/>
  <c r="B67" i="71"/>
  <c r="F9" i="17"/>
  <c r="F23" i="14" s="1"/>
  <c r="G8" i="18"/>
  <c r="C9" i="17"/>
  <c r="C23" i="14" s="1"/>
  <c r="C15" i="1"/>
  <c r="E9" i="17"/>
  <c r="E23" i="14" s="1"/>
  <c r="E15" i="1"/>
  <c r="F16" i="17"/>
  <c r="F17" i="1" s="1"/>
  <c r="F16" i="1"/>
  <c r="F18" i="17"/>
  <c r="F19" i="84" s="1"/>
  <c r="F20" i="84" s="1"/>
  <c r="F21" i="84" s="1"/>
  <c r="F25" i="84" s="1"/>
  <c r="D16" i="17"/>
  <c r="D17" i="1" s="1"/>
  <c r="D16" i="1"/>
  <c r="D18" i="17"/>
  <c r="D19" i="84" s="1"/>
  <c r="G8" i="17"/>
  <c r="E12" i="90" l="1"/>
  <c r="E22" i="90"/>
  <c r="G7" i="87"/>
  <c r="C34" i="84"/>
  <c r="G28" i="85"/>
  <c r="G14" i="85"/>
  <c r="C9" i="1"/>
  <c r="G42" i="85"/>
  <c r="F46" i="85"/>
  <c r="D11" i="91" s="1"/>
  <c r="F45" i="85"/>
  <c r="F31" i="85"/>
  <c r="F32" i="85"/>
  <c r="C11" i="91" s="1"/>
  <c r="F18" i="85"/>
  <c r="B11" i="91" s="1"/>
  <c r="F17" i="85"/>
  <c r="E18" i="85"/>
  <c r="B10" i="91" s="1"/>
  <c r="E17" i="85"/>
  <c r="E46" i="85"/>
  <c r="D10" i="91" s="1"/>
  <c r="E45" i="85"/>
  <c r="E31" i="85"/>
  <c r="E32" i="85"/>
  <c r="C10" i="91" s="1"/>
  <c r="C50" i="85" a="1"/>
  <c r="C50" i="85" s="1"/>
  <c r="D45" i="85"/>
  <c r="D47" i="85" s="1"/>
  <c r="D46" i="85"/>
  <c r="D18" i="85"/>
  <c r="D17" i="85"/>
  <c r="D19" i="85" s="1"/>
  <c r="D67" i="71"/>
  <c r="E67" i="71" s="1"/>
  <c r="F67" i="71" s="1"/>
  <c r="F69" i="71" s="1"/>
  <c r="F8" i="92" s="1"/>
  <c r="G67" i="71"/>
  <c r="D32" i="85"/>
  <c r="D31" i="85"/>
  <c r="D33" i="85" s="1"/>
  <c r="C36" i="85" a="1"/>
  <c r="C36" i="85" s="1"/>
  <c r="F10" i="87"/>
  <c r="F28" i="84"/>
  <c r="D20" i="84"/>
  <c r="D21" i="84" s="1"/>
  <c r="D25" i="84" s="1"/>
  <c r="H17" i="17" a="1"/>
  <c r="H17" i="17" s="1"/>
  <c r="C16" i="17"/>
  <c r="C17" i="1" s="1"/>
  <c r="C16" i="1"/>
  <c r="C18" i="17"/>
  <c r="C19" i="84" s="1"/>
  <c r="F20" i="17"/>
  <c r="F21" i="17" s="1"/>
  <c r="F8" i="87" s="1"/>
  <c r="E18" i="17"/>
  <c r="E19" i="84" s="1"/>
  <c r="E16" i="17"/>
  <c r="E17" i="1" s="1"/>
  <c r="E16" i="1"/>
  <c r="D6" i="21"/>
  <c r="G9" i="17"/>
  <c r="G23" i="14" s="1"/>
  <c r="G15" i="1"/>
  <c r="D20" i="17"/>
  <c r="D21" i="17" s="1"/>
  <c r="D8" i="87" s="1"/>
  <c r="C35" i="84" l="1"/>
  <c r="C36" i="84" s="1"/>
  <c r="C44" i="84" s="1"/>
  <c r="E52" i="84"/>
  <c r="D52" i="84"/>
  <c r="C52" i="84"/>
  <c r="B6" i="91"/>
  <c r="B7" i="91" s="1"/>
  <c r="G17" i="85"/>
  <c r="G18" i="85"/>
  <c r="B12" i="91" s="1"/>
  <c r="G31" i="85"/>
  <c r="C6" i="91"/>
  <c r="C7" i="91" s="1"/>
  <c r="G32" i="85"/>
  <c r="C12" i="91" s="1"/>
  <c r="C22" i="85" a="1"/>
  <c r="C22" i="85" s="1"/>
  <c r="D6" i="91"/>
  <c r="D7" i="91" s="1"/>
  <c r="G46" i="85"/>
  <c r="G45" i="85"/>
  <c r="F16" i="90"/>
  <c r="E24" i="90"/>
  <c r="E16" i="90"/>
  <c r="D16" i="90"/>
  <c r="C16" i="90"/>
  <c r="G16" i="90"/>
  <c r="C9" i="91"/>
  <c r="B9" i="91"/>
  <c r="C20" i="85"/>
  <c r="E19" i="85"/>
  <c r="F19" i="85" s="1"/>
  <c r="D9" i="91"/>
  <c r="C48" i="85"/>
  <c r="E47" i="85"/>
  <c r="F47" i="85" s="1"/>
  <c r="G47" i="85" s="1"/>
  <c r="E33" i="85"/>
  <c r="F33" i="85" s="1"/>
  <c r="C17" i="87"/>
  <c r="E20" i="84"/>
  <c r="E21" i="84" s="1"/>
  <c r="E25" i="84" s="1"/>
  <c r="D28" i="84"/>
  <c r="D10" i="87"/>
  <c r="C20" i="84"/>
  <c r="C21" i="84" s="1"/>
  <c r="C25" i="84" s="1"/>
  <c r="F18" i="1"/>
  <c r="F22" i="17"/>
  <c r="F6" i="18"/>
  <c r="F9" i="18" s="1"/>
  <c r="F9" i="87" s="1"/>
  <c r="G18" i="17"/>
  <c r="G19" i="84" s="1"/>
  <c r="G16" i="17"/>
  <c r="D7" i="21" s="1"/>
  <c r="G16" i="1"/>
  <c r="E20" i="17"/>
  <c r="E21" i="17" s="1"/>
  <c r="E8" i="87" s="1"/>
  <c r="C20" i="17"/>
  <c r="C21" i="17" s="1"/>
  <c r="C8" i="87" s="1"/>
  <c r="D6" i="18"/>
  <c r="D9" i="18" s="1"/>
  <c r="D9" i="87" s="1"/>
  <c r="D18" i="1"/>
  <c r="D22" i="17"/>
  <c r="C34" i="85" l="1"/>
  <c r="G33" i="85"/>
  <c r="E25" i="90"/>
  <c r="E26" i="90" s="1"/>
  <c r="G19" i="85"/>
  <c r="D12" i="91"/>
  <c r="D16" i="91"/>
  <c r="D13" i="91"/>
  <c r="B16" i="91"/>
  <c r="B13" i="91"/>
  <c r="C35" i="85"/>
  <c r="C49" i="85"/>
  <c r="C21" i="85"/>
  <c r="C16" i="91"/>
  <c r="F7" i="92" s="1"/>
  <c r="C13" i="91"/>
  <c r="G20" i="84"/>
  <c r="G21" i="84" s="1"/>
  <c r="G25" i="84" s="1"/>
  <c r="E28" i="84"/>
  <c r="E10" i="87"/>
  <c r="C10" i="87"/>
  <c r="C28" i="84"/>
  <c r="D20" i="18"/>
  <c r="D24" i="14"/>
  <c r="F20" i="18"/>
  <c r="F24" i="14"/>
  <c r="D10" i="21"/>
  <c r="C6" i="18"/>
  <c r="C9" i="18" s="1"/>
  <c r="C9" i="87" s="1"/>
  <c r="F22" i="19"/>
  <c r="F23" i="19" s="1"/>
  <c r="F24" i="19" s="1"/>
  <c r="E22" i="19"/>
  <c r="E23" i="19" s="1"/>
  <c r="E24" i="19" s="1"/>
  <c r="D22" i="19"/>
  <c r="D23" i="19" s="1"/>
  <c r="D24" i="19" s="1"/>
  <c r="C22" i="19"/>
  <c r="C23" i="19" s="1"/>
  <c r="C24" i="19" s="1"/>
  <c r="C18" i="1"/>
  <c r="C22" i="17"/>
  <c r="E18" i="1"/>
  <c r="E22" i="17"/>
  <c r="E6" i="18"/>
  <c r="E9" i="18" s="1"/>
  <c r="E9" i="87" s="1"/>
  <c r="G20" i="17"/>
  <c r="G21" i="17" s="1"/>
  <c r="D9" i="1"/>
  <c r="G17" i="1"/>
  <c r="F5" i="92" l="1"/>
  <c r="E29" i="90"/>
  <c r="E28" i="90"/>
  <c r="G8" i="87"/>
  <c r="G10" i="87"/>
  <c r="G28" i="84"/>
  <c r="C30" i="84" s="1"/>
  <c r="C38" i="84"/>
  <c r="C39" i="84" s="1"/>
  <c r="D12" i="21"/>
  <c r="C20" i="18"/>
  <c r="C22" i="18" s="1"/>
  <c r="E20" i="18"/>
  <c r="E24" i="14"/>
  <c r="C24" i="14"/>
  <c r="G22" i="17"/>
  <c r="D8" i="21" s="1"/>
  <c r="G18" i="1"/>
  <c r="G6" i="18"/>
  <c r="G22" i="19"/>
  <c r="G23" i="19" s="1"/>
  <c r="G24" i="19" s="1"/>
  <c r="E53" i="84" l="1"/>
  <c r="D53" i="84"/>
  <c r="C18" i="87"/>
  <c r="C53" i="84"/>
  <c r="C43" i="84"/>
  <c r="C45" i="84" s="1"/>
  <c r="C19" i="87" s="1"/>
  <c r="C11" i="87"/>
  <c r="D21" i="18"/>
  <c r="D22" i="18" s="1"/>
  <c r="D11" i="87" s="1"/>
  <c r="C22" i="83"/>
  <c r="G9" i="18"/>
  <c r="G9" i="87" s="1"/>
  <c r="C6" i="19"/>
  <c r="C25" i="14" s="1"/>
  <c r="C9" i="19"/>
  <c r="C14" i="19" s="1"/>
  <c r="C26" i="19" s="1"/>
  <c r="D6" i="19" l="1"/>
  <c r="D25" i="14" s="1"/>
  <c r="D22" i="83"/>
  <c r="E21" i="18"/>
  <c r="E22" i="18" s="1"/>
  <c r="E11" i="87" s="1"/>
  <c r="G25" i="14"/>
  <c r="E22" i="83"/>
  <c r="G20" i="18"/>
  <c r="G24" i="14"/>
  <c r="D9" i="19"/>
  <c r="D14" i="19" s="1"/>
  <c r="D26" i="19" s="1"/>
  <c r="F21" i="18"/>
  <c r="F22" i="18" s="1"/>
  <c r="F11" i="87" s="1"/>
  <c r="E6" i="19"/>
  <c r="E25" i="14" s="1"/>
  <c r="F22" i="83" l="1"/>
  <c r="E9" i="19"/>
  <c r="E14" i="19" s="1"/>
  <c r="E26" i="19" s="1"/>
  <c r="F6" i="19"/>
  <c r="F25" i="14" s="1"/>
  <c r="G21" i="18"/>
  <c r="G22" i="18" l="1"/>
  <c r="F9" i="19"/>
  <c r="F14" i="19" s="1"/>
  <c r="F26" i="19" s="1"/>
  <c r="G11" i="87" l="1"/>
  <c r="C14" i="87"/>
  <c r="D14" i="87" s="1"/>
  <c r="C30" i="87"/>
  <c r="G22" i="83"/>
  <c r="G6" i="19"/>
  <c r="C46" i="84" l="1"/>
  <c r="C14" i="91"/>
  <c r="B14" i="91"/>
  <c r="B15" i="91" s="1"/>
  <c r="B19" i="91" s="1"/>
  <c r="B20" i="91" s="1"/>
  <c r="B21" i="91" s="1"/>
  <c r="D14" i="91"/>
  <c r="D15" i="91" s="1"/>
  <c r="D19" i="91" s="1"/>
  <c r="D20" i="91" s="1"/>
  <c r="D21" i="91" s="1"/>
  <c r="C54" i="84"/>
  <c r="C55" i="84" s="1"/>
  <c r="C21" i="87" s="1"/>
  <c r="D54" i="84"/>
  <c r="D55" i="84" s="1"/>
  <c r="C60" i="84" s="1"/>
  <c r="C61" i="84" s="1"/>
  <c r="E54" i="84"/>
  <c r="E55" i="84" s="1"/>
  <c r="D69" i="84"/>
  <c r="F69" i="84"/>
  <c r="G69" i="84"/>
  <c r="F71" i="84"/>
  <c r="C72" i="84"/>
  <c r="E72" i="84"/>
  <c r="C71" i="84"/>
  <c r="F68" i="84"/>
  <c r="F70" i="84"/>
  <c r="C69" i="84"/>
  <c r="E71" i="84"/>
  <c r="G68" i="84"/>
  <c r="D71" i="84"/>
  <c r="G71" i="84"/>
  <c r="F72" i="84"/>
  <c r="D70" i="84"/>
  <c r="E70" i="84"/>
  <c r="E69" i="84"/>
  <c r="C70" i="84"/>
  <c r="G72" i="84"/>
  <c r="G70" i="84"/>
  <c r="C68" i="84"/>
  <c r="E68" i="84"/>
  <c r="D68" i="84"/>
  <c r="D72" i="84"/>
  <c r="C47" i="84"/>
  <c r="C20" i="87" s="1"/>
  <c r="H22" i="83"/>
  <c r="E23" i="83"/>
  <c r="C23" i="83"/>
  <c r="G9" i="19"/>
  <c r="G14" i="19" s="1"/>
  <c r="G26" i="19" s="1"/>
  <c r="C29" i="87" s="1"/>
  <c r="F9" i="93" l="1"/>
  <c r="F7" i="93"/>
  <c r="G8" i="93"/>
  <c r="D7" i="93"/>
  <c r="G11" i="93"/>
  <c r="G9" i="93"/>
  <c r="D11" i="93"/>
  <c r="E9" i="93"/>
  <c r="E7" i="93"/>
  <c r="C11" i="93"/>
  <c r="C7" i="93"/>
  <c r="F8" i="93"/>
  <c r="C9" i="93"/>
  <c r="C10" i="93"/>
  <c r="G10" i="93"/>
  <c r="D10" i="93"/>
  <c r="E8" i="93"/>
  <c r="G7" i="93"/>
  <c r="F10" i="93"/>
  <c r="F11" i="93"/>
  <c r="D8" i="93"/>
  <c r="D9" i="93"/>
  <c r="E10" i="93"/>
  <c r="E11" i="93"/>
  <c r="C8" i="93"/>
  <c r="C15" i="91"/>
  <c r="C19" i="91" s="1"/>
  <c r="C20" i="91" s="1"/>
  <c r="C40" i="87"/>
  <c r="C41" i="87"/>
  <c r="C63" i="84"/>
  <c r="C23" i="87" s="1"/>
  <c r="C22" i="87"/>
  <c r="F10" i="92" l="1"/>
  <c r="C21" i="9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Muhammad Yasin Nurfadllilah</author>
  </authors>
  <commentList>
    <comment ref="E14" authorId="0" shapeId="0" xr:uid="{56F264CE-805B-402A-995D-78CBD1185330}">
      <text>
        <r>
          <rPr>
            <b/>
            <sz val="9"/>
            <color indexed="81"/>
            <rFont val="Tahoma"/>
            <family val="2"/>
          </rPr>
          <t>Muhammad Yasin Nurfadllilah:</t>
        </r>
        <r>
          <rPr>
            <sz val="9"/>
            <color indexed="81"/>
            <rFont val="Tahoma"/>
            <family val="2"/>
          </rPr>
          <t xml:space="preserve">
Fixed: was =G11 (empty cell), corrected to =G10 (TAM total). Audit #5.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Muhammad Yasin Nurfadllilah</author>
  </authors>
  <commentList>
    <comment ref="F11" authorId="0" shapeId="0" xr:uid="{F17E336F-BD5F-4453-AB48-049B9E546A28}">
      <text>
        <r>
          <rPr>
            <b/>
            <sz val="9"/>
            <color indexed="81"/>
            <rFont val="Tahoma"/>
            <family val="2"/>
          </rPr>
          <t>Muhammad Yasin Nurfadllilah:</t>
        </r>
        <r>
          <rPr>
            <sz val="9"/>
            <color indexed="81"/>
            <rFont val="Tahoma"/>
            <family val="2"/>
          </rPr>
          <t xml:space="preserve">
Gap G26: FX rate source and date not documented. Current rate 16,000 IDR/USD. BI mid-rate as of audit date approx 16,000-16,500 range. Pin to specific BI date before any external use.</t>
        </r>
      </text>
    </comment>
    <comment ref="C31" authorId="0" shapeId="0" xr:uid="{12219365-6625-44F6-B53F-DC8A4A4C5788}">
      <text>
        <r>
          <rPr>
            <b/>
            <sz val="9"/>
            <color indexed="81"/>
            <rFont val="Tahoma"/>
            <family val="2"/>
          </rPr>
          <t>Muhammad Yasin Nurfadllilah:</t>
        </r>
        <r>
          <rPr>
            <sz val="9"/>
            <color indexed="81"/>
            <rFont val="Tahoma"/>
            <family val="2"/>
          </rPr>
          <t xml:space="preserve">
Linked to site capex build-up (G14). Hardware from RollUp + civil/PLN/install/permits + contingency.</t>
        </r>
      </text>
    </comment>
    <comment ref="C32" authorId="0" shapeId="0" xr:uid="{424BBFCC-75AE-4EBE-91E8-458B1B7F669F}">
      <text>
        <r>
          <rPr>
            <b/>
            <sz val="9"/>
            <color indexed="81"/>
            <rFont val="Tahoma"/>
            <family val="2"/>
          </rPr>
          <t>Muhammad Yasin Nurfadllilah:</t>
        </r>
        <r>
          <rPr>
            <sz val="9"/>
            <color indexed="81"/>
            <rFont val="Tahoma"/>
            <family val="2"/>
          </rPr>
          <t xml:space="preserve">
Linked to microgrid site capex build-up (G14).</t>
        </r>
      </text>
    </comment>
    <comment ref="C38" authorId="0" shapeId="0" xr:uid="{E77F85B7-BAFF-49AF-B7B0-6BC5212B7239}">
      <text>
        <r>
          <rPr>
            <b/>
            <sz val="9"/>
            <color indexed="81"/>
            <rFont val="Tahoma"/>
            <family val="2"/>
          </rPr>
          <t>Muhammad Yasin Nurfadllilah:</t>
        </r>
        <r>
          <rPr>
            <sz val="9"/>
            <color indexed="81"/>
            <rFont val="Tahoma"/>
            <family val="2"/>
          </rPr>
          <t xml:space="preserve">
[Assumption] = current HubCapex 800M / RollUp hw (SBP+VoltSwap mass) 162M. Includes site civil works, grid, permits, installation. Refine with actual site build-up (G14).</t>
        </r>
      </text>
    </comment>
    <comment ref="C39" authorId="0" shapeId="0" xr:uid="{434B535D-5DC0-44B4-AC19-16A07066C2B3}">
      <text>
        <r>
          <rPr>
            <b/>
            <sz val="9"/>
            <color indexed="81"/>
            <rFont val="Tahoma"/>
            <family val="2"/>
          </rPr>
          <t>Muhammad Yasin Nurfadllilah:</t>
        </r>
        <r>
          <rPr>
            <sz val="9"/>
            <color indexed="81"/>
            <rFont val="Tahoma"/>
            <family val="2"/>
          </rPr>
          <t xml:space="preserve">
[Assumption] = MicroCapex 280M / RollUp VoltGrid mass 48.7M. Includes slab, wiring, PLN connection, commissioning. Refine with actual site cost.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Muhammad Yasin Nurfadllilah</author>
  </authors>
  <commentList>
    <comment ref="B5" authorId="0" shapeId="0" xr:uid="{9676C005-C85F-40EF-AFD9-05C1173C9EE3}">
      <text>
        <r>
          <rPr>
            <b/>
            <sz val="9"/>
            <color indexed="81"/>
            <rFont val="Tahoma"/>
            <family val="2"/>
          </rPr>
          <t>Muhammad Yasin Nurfadllilah:</t>
        </r>
        <r>
          <rPr>
            <sz val="9"/>
            <color indexed="81"/>
            <rFont val="Tahoma"/>
            <family val="2"/>
          </rPr>
          <t xml:space="preserve">
Fixed: was hardcoded 16,300. Now references Assumptions!E11 (Active FX = 16,000) as single source of truth. Audit #3.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Muhammad Yasin Nurfadllilah</author>
  </authors>
  <commentList>
    <comment ref="N9" authorId="0" shapeId="0" xr:uid="{96CB0FDB-826C-4CCA-B1A8-EF5E9A8FC853}">
      <text>
        <r>
          <rPr>
            <b/>
            <sz val="9"/>
            <color indexed="81"/>
            <rFont val="Tahoma"/>
            <family val="2"/>
          </rPr>
          <t>Muhammad Yasin Nurfadllilah:</t>
        </r>
        <r>
          <rPr>
            <sz val="9"/>
            <color indexed="81"/>
            <rFont val="Tahoma"/>
            <family val="2"/>
          </rPr>
          <t xml:space="preserve">
Fixed: was 5%. Handle is 'Make' (locally fabricated), should have 0 landed. Other Make items (Top Cover, Bottom Casing, Busbar) correctly 0. Audit #18. NOTE: Proto price K9=350,000 IDR still hardcoded [Unverified] — should link to Fabrication sheet once supplier quote validated.</t>
        </r>
      </text>
    </comment>
    <comment ref="A26" authorId="0" shapeId="0" xr:uid="{B84D8DA7-E2F7-4C08-B44C-737C2440DA32}">
      <text>
        <r>
          <rPr>
            <b/>
            <sz val="9"/>
            <color indexed="81"/>
            <rFont val="Tahoma"/>
            <family val="2"/>
          </rPr>
          <t>Muhammad Yasin Nurfadllilah:</t>
        </r>
        <r>
          <rPr>
            <sz val="9"/>
            <color indexed="81"/>
            <rFont val="Tahoma"/>
            <family val="2"/>
          </rPr>
          <t xml:space="preserve">
Gap G04 FIX: Vent valve missing from SBP (SAF-001 in Safety_Risk_Register). Added 11-Jun-2026.</t>
        </r>
      </text>
    </comment>
    <comment ref="N26" authorId="0" shapeId="0" xr:uid="{B80CEEDD-69F4-4F6D-B8B8-CD6151A5A3C9}">
      <text>
        <r>
          <rPr>
            <b/>
            <sz val="9"/>
            <color indexed="81"/>
            <rFont val="Tahoma"/>
            <family val="2"/>
          </rPr>
          <t>Muhammad Yasin Nurfadllilah:</t>
        </r>
        <r>
          <rPr>
            <sz val="9"/>
            <color indexed="81"/>
            <rFont val="Tahoma"/>
            <family val="2"/>
          </rPr>
          <t xml:space="preserve">
10% landed — imported safety component</t>
        </r>
      </text>
    </comment>
    <comment ref="T26" authorId="0" shapeId="0" xr:uid="{BCC57654-AE2B-4A5B-A0BF-FE1E986F83DA}">
      <text>
        <r>
          <rPr>
            <b/>
            <sz val="9"/>
            <color indexed="81"/>
            <rFont val="Tahoma"/>
            <family val="2"/>
          </rPr>
          <t>Muhammad Yasin Nurfadllilah:</t>
        </r>
        <r>
          <rPr>
            <sz val="9"/>
            <color indexed="81"/>
            <rFont val="Tahoma"/>
            <family val="2"/>
          </rPr>
          <t xml:space="preserve">
Lead time 8 weeks — import from CN/TW supplier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Muhammad Yasin Nurfadllilah</author>
  </authors>
  <commentList>
    <comment ref="I16" authorId="0" shapeId="0" xr:uid="{9BCC60C3-09E1-454F-A69D-89790A3AD47B}">
      <text>
        <r>
          <rPr>
            <b/>
            <sz val="9"/>
            <color indexed="81"/>
            <rFont val="Tahoma"/>
            <family val="2"/>
          </rPr>
          <t>Muhammad Yasin Nurfadllilah:</t>
        </r>
        <r>
          <rPr>
            <sz val="9"/>
            <color indexed="81"/>
            <rFont val="Tahoma"/>
            <family val="2"/>
          </rPr>
          <t xml:space="preserve">
Gap G12 CLARIFICATION: MCB+SPD were already in spec. Updated 11-Jun-2026 to explicitly add RCBO (earth leakage) and SPD rating per PUIL 2011.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Muhammad Yasin Nurfadllilah</author>
  </authors>
  <commentList>
    <comment ref="A22" authorId="0" shapeId="0" xr:uid="{7E15AA11-D7A0-4C07-B7C8-7BB795B53769}">
      <text>
        <r>
          <rPr>
            <b/>
            <sz val="9"/>
            <color indexed="81"/>
            <rFont val="Tahoma"/>
            <family val="2"/>
          </rPr>
          <t>Muhammad Yasin Nurfadllilah:</t>
        </r>
        <r>
          <rPr>
            <sz val="9"/>
            <color indexed="81"/>
            <rFont val="Tahoma"/>
            <family val="2"/>
          </rPr>
          <t xml:space="preserve">
Gap G12 FIX: Separate DC contactor (electrically-switched isolation) distinct from AE-VG-301 MCCB (manual). Added 11-Jun-2026.</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Muhammad Yasin Nurfadllilah</author>
  </authors>
  <commentList>
    <comment ref="C41" authorId="0" shapeId="0" xr:uid="{4F289B52-2094-446B-B188-164514DDF754}">
      <text>
        <r>
          <rPr>
            <b/>
            <sz val="9"/>
            <color indexed="81"/>
            <rFont val="Tahoma"/>
            <family val="2"/>
          </rPr>
          <t>Muhammad Yasin Nurfadllilah:</t>
        </r>
        <r>
          <rPr>
            <sz val="9"/>
            <color indexed="81"/>
            <rFont val="Tahoma"/>
            <family val="2"/>
          </rPr>
          <t xml:space="preserve">
Y1 base ARPU (no inflation adjustment). Audit #19 fix applied Y2-Y5.</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Muhammad Yasin Nurfadllilah</author>
  </authors>
  <commentList>
    <comment ref="C32" authorId="0" shapeId="0" xr:uid="{FBF3629D-973F-4864-BA77-18C552222AC8}">
      <text>
        <r>
          <rPr>
            <b/>
            <sz val="9"/>
            <color indexed="81"/>
            <rFont val="Tahoma"/>
            <family val="2"/>
          </rPr>
          <t>Breakeven monthly subscription price = OPEX / (Hub capacity × Utilization). Base: 760k vs 500k current = 52% price increase needed.</t>
        </r>
      </text>
    </comment>
    <comment ref="C34" authorId="0" shapeId="0" xr:uid="{87A65DEE-26C6-4049-B056-E80D573FE7BD}">
      <text>
        <r>
          <rPr>
            <b/>
            <sz val="9"/>
            <color indexed="81"/>
            <rFont val="Tahoma"/>
            <family val="2"/>
          </rPr>
          <t>Muhammad Yasin Nurfadllilah:</t>
        </r>
        <r>
          <rPr>
            <sz val="9"/>
            <color indexed="81"/>
            <rFont val="Tahoma"/>
            <family val="2"/>
          </rPr>
          <t xml:space="preserve">
Number of paying subscribers needed per hub to cover OPEX at the current subscription price.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Muhammad Yasin Nurfadllilah</author>
  </authors>
  <commentList>
    <comment ref="D14" authorId="0" shapeId="0" xr:uid="{D2888B58-315C-49AF-AD99-835ADA05CDCE}">
      <text>
        <r>
          <rPr>
            <b/>
            <sz val="9"/>
            <color indexed="81"/>
            <rFont val="Tahoma"/>
            <family val="2"/>
          </rPr>
          <t>Muhammad Yasin Nurfadllilah:</t>
        </r>
        <r>
          <rPr>
            <sz val="9"/>
            <color indexed="81"/>
            <rFont val="Tahoma"/>
            <family val="2"/>
          </rPr>
          <t xml:space="preserve">
First-life year 1 of 3 (Swap net cash split equally Y1-Y3)</t>
        </r>
      </text>
    </comment>
    <comment ref="L14" authorId="0" shapeId="0" xr:uid="{D9F8CA30-0FF2-4333-A57A-D0C945DE2A69}">
      <text>
        <r>
          <rPr>
            <b/>
            <sz val="9"/>
            <color indexed="81"/>
            <rFont val="Tahoma"/>
            <family val="2"/>
          </rPr>
          <t>Muhammad Yasin Nurfadllilah:</t>
        </r>
        <r>
          <rPr>
            <sz val="9"/>
            <color indexed="81"/>
            <rFont val="Tahoma"/>
            <family val="2"/>
          </rPr>
          <t xml:space="preserve">
Carbon credits cumulative recognized at end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Muhammad Yasin Nurfadllilah</author>
  </authors>
  <commentList>
    <comment ref="F19" authorId="0" shapeId="0" xr:uid="{F03863C9-E933-4601-9720-13A7D206B21F}">
      <text>
        <r>
          <rPr>
            <b/>
            <sz val="9"/>
            <color indexed="81"/>
            <rFont val="Tahoma"/>
            <family val="2"/>
          </rPr>
          <t>Muhammad Yasin Nurfadllilah:</t>
        </r>
        <r>
          <rPr>
            <sz val="9"/>
            <color indexed="81"/>
            <rFont val="Tahoma"/>
            <family val="2"/>
          </rPr>
          <t xml:space="preserve">
Software (3-yr life) uses rolling window SUM(D9:F9) — Y1 vintage fully depreciated, excluded. Other categories cumulative (life &gt;= 5yr, no over-depreciation within 5yr model).</t>
        </r>
      </text>
    </comment>
    <comment ref="G19" authorId="0" shapeId="0" xr:uid="{61973B4F-06D8-4E84-8A30-D86CE32100DC}">
      <text>
        <r>
          <rPr>
            <b/>
            <sz val="9"/>
            <color indexed="81"/>
            <rFont val="Tahoma"/>
            <family val="2"/>
          </rPr>
          <t>Muhammad Yasin Nurfadllilah:</t>
        </r>
        <r>
          <rPr>
            <sz val="9"/>
            <color indexed="81"/>
            <rFont val="Tahoma"/>
            <family val="2"/>
          </rPr>
          <t xml:space="preserve">
Software rolling window SUM(E9:G9) — Y1+Y2 software vintages fully depreciated by Y5, excluded.</t>
        </r>
      </text>
    </comment>
    <comment ref="C23" authorId="0" shapeId="0" xr:uid="{28C8F5C1-29C0-42FB-A6AB-6530B0E30F78}">
      <text>
        <r>
          <rPr>
            <b/>
            <sz val="9"/>
            <color indexed="81"/>
            <rFont val="Tahoma"/>
            <family val="2"/>
          </rPr>
          <t>Muhammad Yasin Nurfadllilah:</t>
        </r>
        <r>
          <rPr>
            <sz val="9"/>
            <color indexed="81"/>
            <rFont val="Tahoma"/>
            <family val="2"/>
          </rPr>
          <t xml:space="preserve">
Linked to RollUp ecosystem ref config: 18 SBP + 1 VoltSwap at mass cost</t>
        </r>
      </text>
    </comment>
    <comment ref="C24" authorId="0" shapeId="0" xr:uid="{6210C9F3-86A1-4D48-B5A4-2882BF7409CF}">
      <text>
        <r>
          <rPr>
            <b/>
            <sz val="9"/>
            <color indexed="81"/>
            <rFont val="Tahoma"/>
            <family val="2"/>
          </rPr>
          <t>Muhammad Yasin Nurfadllilah:</t>
        </r>
        <r>
          <rPr>
            <sz val="9"/>
            <color indexed="81"/>
            <rFont val="Tahoma"/>
            <family val="2"/>
          </rPr>
          <t xml:space="preserve">
[Assumption] Concrete pad + steel shelter 4×6m + signage. Verify with contractor quotation.</t>
        </r>
      </text>
    </comment>
    <comment ref="C25" authorId="0" shapeId="0" xr:uid="{6A4D3E14-0B78-482C-A690-A0699A3C01D8}">
      <text>
        <r>
          <rPr>
            <b/>
            <sz val="9"/>
            <color indexed="81"/>
            <rFont val="Tahoma"/>
            <family val="2"/>
          </rPr>
          <t>Muhammad Yasin Nurfadllilah:</t>
        </r>
        <r>
          <rPr>
            <sz val="9"/>
            <color indexed="81"/>
            <rFont val="Tahoma"/>
            <family val="2"/>
          </rPr>
          <t xml:space="preserve">
[Assumption] 3-phase 22kW connection incl. SPJBTL application + meter. Varies by location.</t>
        </r>
      </text>
    </comment>
    <comment ref="C26" authorId="0" shapeId="0" xr:uid="{3EC91EA6-7E36-4F61-A5D4-6C49DFDFD252}">
      <text>
        <r>
          <rPr>
            <b/>
            <sz val="9"/>
            <color indexed="81"/>
            <rFont val="Tahoma"/>
            <family val="2"/>
          </rPr>
          <t>Muhammad Yasin Nurfadllilah:</t>
        </r>
        <r>
          <rPr>
            <sz val="9"/>
            <color indexed="81"/>
            <rFont val="Tahoma"/>
            <family val="2"/>
          </rPr>
          <t xml:space="preserve">
[Assumption] Certified electrician + mechanical team. 2 weeks site work.</t>
        </r>
      </text>
    </comment>
    <comment ref="C27" authorId="0" shapeId="0" xr:uid="{69714149-C895-4015-B88A-7563987DE50C}">
      <text>
        <r>
          <rPr>
            <b/>
            <sz val="9"/>
            <color indexed="81"/>
            <rFont val="Tahoma"/>
            <family val="2"/>
          </rPr>
          <t>Muhammad Yasin Nurfadllilah:</t>
        </r>
        <r>
          <rPr>
            <sz val="9"/>
            <color indexed="81"/>
            <rFont val="Tahoma"/>
            <family val="2"/>
          </rPr>
          <t xml:space="preserve">
[Assumption] Local permits + PLN application + business registration.</t>
        </r>
      </text>
    </comment>
    <comment ref="C28" authorId="0" shapeId="0" xr:uid="{83D70794-9101-48B8-8695-DF1AD8617643}">
      <text>
        <r>
          <rPr>
            <b/>
            <sz val="9"/>
            <color indexed="81"/>
            <rFont val="Tahoma"/>
            <family val="2"/>
          </rPr>
          <t>Muhammad Yasin Nurfadllilah:</t>
        </r>
        <r>
          <rPr>
            <sz val="9"/>
            <color indexed="81"/>
            <rFont val="Tahoma"/>
            <family val="2"/>
          </rPr>
          <t xml:space="preserve">
[Assumption] Integration test + PLN inspection + safety sign-off.</t>
        </r>
      </text>
    </comment>
    <comment ref="C30" authorId="0" shapeId="0" xr:uid="{CD125623-FE1C-47C3-856A-78C3BAC8DDD9}">
      <text>
        <r>
          <rPr>
            <b/>
            <sz val="9"/>
            <color indexed="81"/>
            <rFont val="Tahoma"/>
            <family val="2"/>
          </rPr>
          <t>Muhammad Yasin Nurfadllilah:</t>
        </r>
        <r>
          <rPr>
            <sz val="9"/>
            <color indexed="81"/>
            <rFont val="Tahoma"/>
            <family val="2"/>
          </rPr>
          <t xml:space="preserve">
Should reconcile with Assumptions!E31 (HubCapex). Linked via Assumptions!C31.</t>
        </r>
      </text>
    </comment>
    <comment ref="C33" authorId="0" shapeId="0" xr:uid="{D780B485-0CFA-40E9-9030-34659814143C}">
      <text>
        <r>
          <rPr>
            <b/>
            <sz val="9"/>
            <color indexed="81"/>
            <rFont val="Tahoma"/>
            <family val="2"/>
          </rPr>
          <t>Muhammad Yasin Nurfadllilah:</t>
        </r>
        <r>
          <rPr>
            <sz val="9"/>
            <color indexed="81"/>
            <rFont val="Tahoma"/>
            <family val="2"/>
          </rPr>
          <t xml:space="preserve">
Linked to RollUp: 1 VoltGrid cabinet at mass cost</t>
        </r>
      </text>
    </comment>
    <comment ref="C34" authorId="0" shapeId="0" xr:uid="{83F32FD7-DDDC-4020-B18A-E07C4C3B5A49}">
      <text>
        <r>
          <rPr>
            <b/>
            <sz val="9"/>
            <color indexed="81"/>
            <rFont val="Tahoma"/>
            <family val="2"/>
          </rPr>
          <t>Muhammad Yasin Nurfadllilah:</t>
        </r>
        <r>
          <rPr>
            <sz val="9"/>
            <color indexed="81"/>
            <rFont val="Tahoma"/>
            <family val="2"/>
          </rPr>
          <t xml:space="preserve">
[Assumption]</t>
        </r>
      </text>
    </comment>
    <comment ref="C35" authorId="0" shapeId="0" xr:uid="{804AAB26-00AF-41A8-BD7B-B401169AEE46}">
      <text>
        <r>
          <rPr>
            <b/>
            <sz val="9"/>
            <color indexed="81"/>
            <rFont val="Tahoma"/>
            <family val="2"/>
          </rPr>
          <t>Muhammad Yasin Nurfadllilah:</t>
        </r>
        <r>
          <rPr>
            <sz val="9"/>
            <color indexed="81"/>
            <rFont val="Tahoma"/>
            <family val="2"/>
          </rPr>
          <t xml:space="preserve">
[Assumption] Bidirectional meter + export approval</t>
        </r>
      </text>
    </comment>
    <comment ref="C43" authorId="0" shapeId="0" xr:uid="{1A15E193-001E-4BA4-8005-3B0BC8BBA8F0}">
      <text>
        <r>
          <rPr>
            <b/>
            <sz val="9"/>
            <color indexed="81"/>
            <rFont val="Tahoma"/>
            <family val="2"/>
          </rPr>
          <t>Muhammad Yasin Nurfadllilah:</t>
        </r>
        <r>
          <rPr>
            <sz val="9"/>
            <color indexed="81"/>
            <rFont val="Tahoma"/>
            <family val="2"/>
          </rPr>
          <t xml:space="preserve">
[Assumption] ~$20k USD. Source: industry range $6-20k for small pack. IEC 62619 4-6mo.</t>
        </r>
      </text>
    </comment>
    <comment ref="C44" authorId="0" shapeId="0" xr:uid="{D4FCBC1C-90A4-407C-8670-84A3BDDC4BDC}">
      <text>
        <r>
          <rPr>
            <b/>
            <sz val="9"/>
            <color indexed="81"/>
            <rFont val="Tahoma"/>
            <family val="2"/>
          </rPr>
          <t>Muhammad Yasin Nurfadllilah:</t>
        </r>
        <r>
          <rPr>
            <sz val="9"/>
            <color indexed="81"/>
            <rFont val="Tahoma"/>
            <family val="2"/>
          </rPr>
          <t xml:space="preserve">
[Assumption] ~$50k USD. Source: IEC 62619 cert $82-96k for full BESS (BatteryDesign.net 2025). Smaller VoltGrid estimated lower.</t>
        </r>
      </text>
    </comment>
    <comment ref="C45" authorId="0" shapeId="0" xr:uid="{F2108BFD-8365-44F0-B732-206529BF08BF}">
      <text>
        <r>
          <rPr>
            <b/>
            <sz val="9"/>
            <color indexed="81"/>
            <rFont val="Tahoma"/>
            <family val="2"/>
          </rPr>
          <t>Muhammad Yasin Nurfadllilah:</t>
        </r>
        <r>
          <rPr>
            <sz val="9"/>
            <color indexed="81"/>
            <rFont val="Tahoma"/>
            <family val="2"/>
          </rPr>
          <t xml:space="preserve">
[Assumption] ~$15k USD. Includes panel/wiring PUIL audit + EMC test.</t>
        </r>
      </text>
    </comment>
    <comment ref="C46" authorId="0" shapeId="0" xr:uid="{883F5B0F-D3BD-4A19-8C35-B2FE3DF9577B}">
      <text>
        <r>
          <rPr>
            <b/>
            <sz val="9"/>
            <color indexed="81"/>
            <rFont val="Tahoma"/>
            <family val="2"/>
          </rPr>
          <t>Muhammad Yasin Nurfadllilah:</t>
        </r>
        <r>
          <rPr>
            <sz val="9"/>
            <color indexed="81"/>
            <rFont val="Tahoma"/>
            <family val="2"/>
          </rPr>
          <t xml:space="preserve">
[Assumption] ~$20k USD. LSPro audit + lab testing + SPPT application. SNI battery cert mandatory May 2025+.</t>
        </r>
      </text>
    </comment>
    <comment ref="C47" authorId="0" shapeId="0" xr:uid="{A0FE8C97-7D91-445F-93D9-393426A5B114}">
      <text>
        <r>
          <rPr>
            <b/>
            <sz val="9"/>
            <color indexed="81"/>
            <rFont val="Tahoma"/>
            <family val="2"/>
          </rPr>
          <t>Muhammad Yasin Nurfadllilah:</t>
        </r>
        <r>
          <rPr>
            <sz val="9"/>
            <color indexed="81"/>
            <rFont val="Tahoma"/>
            <family val="2"/>
          </rPr>
          <t xml:space="preserve">
[Assumption] ~$5k USD</t>
        </r>
      </text>
    </comment>
    <comment ref="C48" authorId="0" shapeId="0" xr:uid="{5286C604-2F33-4E5F-A444-71D5A0F6A902}">
      <text>
        <r>
          <rPr>
            <b/>
            <sz val="9"/>
            <color indexed="81"/>
            <rFont val="Tahoma"/>
            <family val="2"/>
          </rPr>
          <t>Muhammad Yasin Nurfadllilah:</t>
        </r>
        <r>
          <rPr>
            <sz val="9"/>
            <color indexed="81"/>
            <rFont val="Tahoma"/>
            <family val="2"/>
          </rPr>
          <t xml:space="preserve">
[Assumption] 8 SBP proto packs for destruction testing</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Muhammad Yasin Nurfadllilah</author>
  </authors>
  <commentList>
    <comment ref="C7" authorId="0" shapeId="0" xr:uid="{BF65D70C-77D9-4DDE-8BA3-D3990C9FE5D9}">
      <text>
        <r>
          <rPr>
            <b/>
            <sz val="9"/>
            <color indexed="81"/>
            <rFont val="Tahoma"/>
            <family val="2"/>
          </rPr>
          <t>Muhammad Yasin Nurfadllilah:</t>
        </r>
        <r>
          <rPr>
            <sz val="9"/>
            <color indexed="81"/>
            <rFont val="Tahoma"/>
            <family val="2"/>
          </rPr>
          <t xml:space="preserve">
Audit #4 FIX: COGS now derived from unit economics (rows 31-41) instead of flat % of revenue. References Active scenario from Swap Hub Econ + Microgrid Econ × deployed units. C25 row below kept for reference but no longer authoritative.</t>
        </r>
      </text>
    </comment>
    <comment ref="G15" authorId="0" shapeId="0" xr:uid="{5EAE3916-2A60-433E-AD27-12989F6CB273}">
      <text>
        <r>
          <rPr>
            <b/>
            <sz val="9"/>
            <color indexed="81"/>
            <rFont val="Tahoma"/>
          </rPr>
          <t>Muhammad Yasin Nurfadllilah:</t>
        </r>
        <r>
          <rPr>
            <sz val="9"/>
            <color indexed="81"/>
            <rFont val="Tahoma"/>
          </rPr>
          <t xml:space="preserve">
FD-11: includes operating-improvement program (VoltOS SaaS, VoltSmart DaaS, anchor fleet, hub optimization, opex efficiency, battery lifecycle). Driver-based, see BreakEven_Bridge. D&amp;A/tax not manipulated.</t>
        </r>
      </text>
    </comment>
    <comment ref="H17" authorId="0" shapeId="0" xr:uid="{9B45A147-B5B7-4A25-BF11-B6AFD789784E}">
      <text>
        <r>
          <rPr>
            <b/>
            <sz val="9"/>
            <color indexed="81"/>
            <rFont val="Tahoma"/>
            <family val="2"/>
          </rPr>
          <t>Audit #20 FIX (v2): Returns Y# of first positive EBITDA. Position in C15:G15 array corresponds to Y1-Y5.</t>
        </r>
      </text>
    </comment>
    <comment ref="C33" authorId="0" shapeId="0" xr:uid="{4E6BCBC3-AA2E-4EB5-975A-AFB31C2E73A6}">
      <text>
        <r>
          <rPr>
            <b/>
            <sz val="9"/>
            <color indexed="81"/>
            <rFont val="Tahoma"/>
            <family val="2"/>
          </rPr>
          <t>Muhammad Yasin Nurfadllilah:</t>
        </r>
        <r>
          <rPr>
            <sz val="9"/>
            <color indexed="81"/>
            <rFont val="Tahoma"/>
            <family val="2"/>
          </rPr>
          <t xml:space="preserve">
Pulls Active scenario Monthly Total OPEX × 12 from Swap Hub Econ.</t>
        </r>
      </text>
    </comment>
    <comment ref="C36" authorId="0" shapeId="0" xr:uid="{0D0E566D-72F7-4EF9-B9BE-553C8AAC0398}">
      <text>
        <r>
          <rPr>
            <b/>
            <sz val="9"/>
            <color indexed="81"/>
            <rFont val="Tahoma"/>
            <family val="2"/>
          </rPr>
          <t>Muhammad Yasin Nurfadllilah:</t>
        </r>
        <r>
          <rPr>
            <sz val="9"/>
            <color indexed="81"/>
            <rFont val="Tahoma"/>
            <family val="2"/>
          </rPr>
          <t xml:space="preserve">
Pulls Active scenario Net Monthly OPEX (cost only, excl carbon revenue &amp; diesel offset) × 12 from Microgrid Econ.</t>
        </r>
      </text>
    </comment>
    <comment ref="C39" authorId="0" shapeId="0" xr:uid="{EF515BAE-1CC7-4F69-AC6D-7167C938B6B7}">
      <text>
        <r>
          <rPr>
            <b/>
            <sz val="9"/>
            <color indexed="81"/>
            <rFont val="Tahoma"/>
            <family val="2"/>
          </rPr>
          <t>[Assumption] Battery replacement reserve: 1-yr deployment lag (Y1=0, Y2+ = prior year batteries × replace rate × mass cost). Rate and cost in rows 45-46. Refine when cycle test data available.</t>
        </r>
      </text>
    </comment>
    <comment ref="C40" authorId="0" shapeId="0" xr:uid="{980AD8FD-3B27-4B6D-B943-FB7E31CD5883}">
      <text>
        <r>
          <rPr>
            <b/>
            <sz val="9"/>
            <color indexed="81"/>
            <rFont val="Tahoma"/>
            <family val="2"/>
          </rPr>
          <t>[Assumption] Warranty reserve (% revenue) + spares allowance per active hub. Parameters rows 47-48.</t>
        </r>
      </text>
    </comment>
    <comment ref="B45" authorId="0" shapeId="0" xr:uid="{1EC1837C-C821-4B39-8C0E-082CBC6178AD}">
      <text>
        <r>
          <rPr>
            <b/>
            <sz val="9"/>
            <color indexed="81"/>
            <rFont val="Tahoma"/>
            <family val="2"/>
          </rPr>
          <t>Muhammad Yasin Nurfadllilah:</t>
        </r>
        <r>
          <rPr>
            <sz val="9"/>
            <color indexed="81"/>
            <rFont val="Tahoma"/>
            <family val="2"/>
          </rPr>
          <t xml:space="preserve">
[Assumption] NMC 21700 ~500 cycles to 80% → ~2yr service at 1 cycle/day. No cycle test data yet. Source when avail: Test_Plan SBP-T02.</t>
        </r>
      </text>
    </comment>
    <comment ref="B46" authorId="0" shapeId="0" xr:uid="{ED0B99CF-12C3-458A-98A2-71A0636C9907}">
      <text>
        <r>
          <rPr>
            <b/>
            <sz val="9"/>
            <color indexed="81"/>
            <rFont val="Tahoma"/>
            <family val="2"/>
          </rPr>
          <t>Muhammad Yasin Nurfadllilah:</t>
        </r>
        <r>
          <rPr>
            <sz val="9"/>
            <color indexed="81"/>
            <rFont val="Tahoma"/>
            <family val="2"/>
          </rPr>
          <t xml:space="preserve">
Links to RollUp mass unit cost for SBP including contingency. Will update as BOM prices are refined.</t>
        </r>
      </text>
    </comment>
    <comment ref="B47" authorId="0" shapeId="0" xr:uid="{D8F56F49-0BAC-40ED-BAA5-9D16FB295883}">
      <text>
        <r>
          <rPr>
            <b/>
            <sz val="9"/>
            <color indexed="81"/>
            <rFont val="Tahoma"/>
            <family val="2"/>
          </rPr>
          <t>Muhammad Yasin Nurfadllilah:</t>
        </r>
        <r>
          <rPr>
            <sz val="9"/>
            <color indexed="81"/>
            <rFont val="Tahoma"/>
            <family val="2"/>
          </rPr>
          <t xml:space="preserve">
[Assumption] 2.5% of revenue. Industry hardware norm 2-5%. Refine with field failure data.</t>
        </r>
      </text>
    </comment>
    <comment ref="B48" authorId="0" shapeId="0" xr:uid="{32127D97-BD23-4B2C-9EA8-6BB08D0AF7BB}">
      <text>
        <r>
          <rPr>
            <b/>
            <sz val="9"/>
            <color indexed="81"/>
            <rFont val="Tahoma"/>
            <family val="2"/>
          </rPr>
          <t>Muhammad Yasin Nurfadllilah:</t>
        </r>
        <r>
          <rPr>
            <sz val="9"/>
            <color indexed="81"/>
            <rFont val="Tahoma"/>
            <family val="2"/>
          </rPr>
          <t xml:space="preserve">
[Assumption] Spare connectors, fuses, vent valves per hub/yr. Refine post-prototype.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Muhammad Yasin Nurfadllilah</author>
  </authors>
  <commentList>
    <comment ref="C8" authorId="0" shapeId="0" xr:uid="{6BEB3ABC-5EBC-45C8-8435-31ABFD5DE78B}">
      <text>
        <r>
          <rPr>
            <b/>
            <sz val="9"/>
            <color indexed="81"/>
            <rFont val="Tahoma"/>
            <family val="2"/>
          </rPr>
          <t>Muhammad Yasin Nurfadllilah:</t>
        </r>
        <r>
          <rPr>
            <sz val="9"/>
            <color indexed="81"/>
            <rFont val="Tahoma"/>
            <family val="2"/>
          </rPr>
          <t xml:space="preserve">
[Estimate] EBITDA x 0.70 post D&amp;A+tax proxy. Replace with live P&amp;L when full scenario model available.</t>
        </r>
      </text>
    </comment>
    <comment ref="E8" authorId="0" shapeId="0" xr:uid="{2063FB45-C625-46E7-9293-0CA3C01DF762}">
      <text>
        <r>
          <rPr>
            <b/>
            <sz val="9"/>
            <color indexed="81"/>
            <rFont val="Tahoma"/>
            <family val="2"/>
          </rPr>
          <t>Muhammad Yasin Nurfadllilah:</t>
        </r>
        <r>
          <rPr>
            <sz val="9"/>
            <color indexed="81"/>
            <rFont val="Tahoma"/>
            <family val="2"/>
          </rPr>
          <t xml:space="preserve">
[Estimate] EBITDA x 0.75 post D&amp;A+tax proxy.</t>
        </r>
      </text>
    </comment>
    <comment ref="C9" authorId="0" shapeId="0" xr:uid="{52DE4279-E02B-44BC-85C0-9B8D9FD02C15}">
      <text>
        <r>
          <rPr>
            <b/>
            <sz val="9"/>
            <color indexed="81"/>
            <rFont val="Tahoma"/>
            <family val="2"/>
          </rPr>
          <t>Muhammad Yasin Nurfadllilah:</t>
        </r>
        <r>
          <rPr>
            <sz val="9"/>
            <color indexed="81"/>
            <rFont val="Tahoma"/>
            <family val="2"/>
          </rPr>
          <t xml:space="preserve">
IRR requires full 5-yr cash flow rebuild per scenario. Live when Monthly_Runway expanded to 5yr.</t>
        </r>
      </text>
    </comment>
    <comment ref="E9" authorId="0" shapeId="0" xr:uid="{7A14DE77-756D-401D-9849-4E1D5FB4AEF9}">
      <text>
        <r>
          <rPr>
            <b/>
            <sz val="9"/>
            <color indexed="81"/>
            <rFont val="Tahoma"/>
            <family val="2"/>
          </rPr>
          <t>Muhammad Yasin Nurfadllilah:</t>
        </r>
        <r>
          <rPr>
            <sz val="9"/>
            <color indexed="81"/>
            <rFont val="Tahoma"/>
            <family val="2"/>
          </rPr>
          <t xml:space="preserve">
IRR requires full 5-yr cash flow rebuild per scenario.</t>
        </r>
      </text>
    </comment>
    <comment ref="C10" authorId="0" shapeId="0" xr:uid="{26B9FB11-492E-467F-B41C-991B9453FA8F}">
      <text>
        <r>
          <rPr>
            <b/>
            <sz val="9"/>
            <color indexed="81"/>
            <rFont val="Tahoma"/>
            <family val="2"/>
          </rPr>
          <t>Muhammad Yasin Nurfadllilah:</t>
        </r>
        <r>
          <rPr>
            <sz val="9"/>
            <color indexed="81"/>
            <rFont val="Tahoma"/>
            <family val="2"/>
          </rPr>
          <t xml:space="preserve">
[Estimate] Based on Y5 EBITDA sign only. Build full Y1-Y5 cons scenario to confirm.</t>
        </r>
      </text>
    </comment>
    <comment ref="E10" authorId="0" shapeId="0" xr:uid="{1A023394-368C-4307-B26B-87C41BAEE99F}">
      <text>
        <r>
          <rPr>
            <b/>
            <sz val="9"/>
            <color indexed="81"/>
            <rFont val="Tahoma"/>
            <family val="2"/>
          </rPr>
          <t>Muhammad Yasin Nurfadllilah:</t>
        </r>
        <r>
          <rPr>
            <sz val="9"/>
            <color indexed="81"/>
            <rFont val="Tahoma"/>
            <family val="2"/>
          </rPr>
          <t xml:space="preserve">
[Estimate] Based on Y5 EBITDA sign only.</t>
        </r>
      </text>
    </comment>
    <comment ref="D37" authorId="0" shapeId="0" xr:uid="{95A37214-9C97-4C9C-8128-7FFA06819AD7}">
      <text>
        <r>
          <rPr>
            <b/>
            <sz val="9"/>
            <color indexed="81"/>
            <rFont val="Tahoma"/>
            <family val="2"/>
          </rPr>
          <t>Muhammad Yasin Nurfadllilah:</t>
        </r>
        <r>
          <rPr>
            <sz val="9"/>
            <color indexed="81"/>
            <rFont val="Tahoma"/>
            <family val="2"/>
          </rPr>
          <t xml:space="preserve">
[Assumption] ~60% of battery pack cost is imported (cells, BMS, connectors). Refine after RFQ.</t>
        </r>
      </text>
    </comment>
    <comment ref="A45" authorId="0" shapeId="0" xr:uid="{976E5CEE-052F-4F69-BEA1-6D224335FF52}">
      <text>
        <r>
          <rPr>
            <b/>
            <sz val="9"/>
            <color indexed="81"/>
            <rFont val="Tahoma"/>
            <family val="2"/>
          </rPr>
          <t>Muhammad Yasin Nurfadllilah:</t>
        </r>
        <r>
          <rPr>
            <sz val="9"/>
            <color indexed="81"/>
            <rFont val="Tahoma"/>
            <family val="2"/>
          </rPr>
          <t xml:space="preserve">
Master Input Data rate — stress case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Muhammad Yasin Nurfadllilah</author>
  </authors>
  <commentList>
    <comment ref="C24" authorId="0" shapeId="0" xr:uid="{45DA7404-D5FF-4C52-B65C-FEF116F4C3EC}">
      <text>
        <r>
          <rPr>
            <b/>
            <sz val="9"/>
            <color indexed="81"/>
            <rFont val="Tahoma"/>
            <family val="2"/>
          </rPr>
          <t>Muhammad Yasin Nurfadllilah:</t>
        </r>
        <r>
          <rPr>
            <sz val="9"/>
            <color indexed="81"/>
            <rFont val="Tahoma"/>
            <family val="2"/>
          </rPr>
          <t xml:space="preserve">
Audit #1 FIX: was hardcoded 18T IDR. Now links to P&amp;L Y5 Revenue (live model output). Previous 18T appears to have been an aspirational ASEAN-wide long-term projection, but was being used as if it were the 5-yr model output — producing fictional 2,397.6x MOIC.</t>
        </r>
      </text>
    </comment>
    <comment ref="C27" authorId="0" shapeId="0" xr:uid="{A28CD78E-DF6F-4108-80FF-1F185631D8D8}">
      <text>
        <r>
          <rPr>
            <b/>
            <sz val="9"/>
            <color indexed="81"/>
            <rFont val="Tahoma"/>
            <family val="2"/>
          </rPr>
          <t>Muhammad Yasin Nurfadllilah:</t>
        </r>
        <r>
          <rPr>
            <sz val="9"/>
            <color indexed="81"/>
            <rFont val="Tahoma"/>
            <family val="2"/>
          </rPr>
          <t xml:space="preserve">
Aggressive case = Base × 1.5 [Assumption]. Previous 28T was unsourced.</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Muhammad Yasin Nurfadllilah</author>
  </authors>
  <commentList>
    <comment ref="G5" authorId="0" shapeId="0" xr:uid="{5F6C9C3B-5A90-48D1-8C34-81006D5B2E0F}">
      <text>
        <r>
          <rPr>
            <b/>
            <sz val="9"/>
            <color indexed="81"/>
            <rFont val="Tahoma"/>
            <family val="2"/>
          </rPr>
          <t>Midpoint ~USD 3/cell × 16,000 IDR/USD. [Indicative]</t>
        </r>
      </text>
    </comment>
    <comment ref="G6" authorId="0" shapeId="0" xr:uid="{54352562-4395-4506-90E7-7FEA89FF3967}">
      <text>
        <r>
          <rPr>
            <b/>
            <sz val="9"/>
            <color indexed="81"/>
            <rFont val="Tahoma"/>
            <family val="2"/>
          </rPr>
          <t>Midpoint ~USD 42/unit × 16,000. [Indicative]</t>
        </r>
      </text>
    </comment>
    <comment ref="G7" authorId="0" shapeId="0" xr:uid="{29A54E4D-3F94-4CD4-BDF1-6A6B8E4AFC98}">
      <text>
        <r>
          <rPr>
            <b/>
            <sz val="9"/>
            <color indexed="81"/>
            <rFont val="Tahoma"/>
            <family val="2"/>
          </rPr>
          <t>Midpoint ~USD 47/unit × 16,000. [Indicative]</t>
        </r>
      </text>
    </comment>
    <comment ref="G8" authorId="0" shapeId="0" xr:uid="{5734FA95-AD42-4021-A752-6977ED1BD0D6}">
      <text>
        <r>
          <rPr>
            <b/>
            <sz val="9"/>
            <color indexed="81"/>
            <rFont val="Tahoma"/>
            <family val="2"/>
          </rPr>
          <t>Midpoint ~USD 27.5/pair × 16,000. [Indicative] Custom NRE not included.</t>
        </r>
      </text>
    </comment>
    <comment ref="G9" authorId="0" shapeId="0" xr:uid="{7AAF3564-22FE-4D17-91E0-4A71DC4B260F}">
      <text>
        <r>
          <rPr>
            <b/>
            <sz val="9"/>
            <color indexed="81"/>
            <rFont val="Tahoma"/>
            <family val="2"/>
          </rPr>
          <t>Midpoint ~USD 1,000/unit × 16,000. [Indicative]</t>
        </r>
      </text>
    </comment>
    <comment ref="G10" authorId="0" shapeId="0" xr:uid="{C2172674-C718-4519-9EAE-780CA7A40D8F}">
      <text>
        <r>
          <rPr>
            <b/>
            <sz val="9"/>
            <color indexed="81"/>
            <rFont val="Tahoma"/>
            <family val="2"/>
          </rPr>
          <t>Muhammad Yasin Nurfadllilah:</t>
        </r>
        <r>
          <rPr>
            <sz val="9"/>
            <color indexed="81"/>
            <rFont val="Tahoma"/>
            <family val="2"/>
          </rPr>
          <t xml:space="preserve">
Midpoint ~USD 30/unit × 16,000. [Indicative]</t>
        </r>
      </text>
    </comment>
    <comment ref="G11" authorId="0" shapeId="0" xr:uid="{CAC071DB-715C-4DC6-B6CA-ACBE7917A2D6}">
      <text>
        <r>
          <rPr>
            <b/>
            <sz val="9"/>
            <color indexed="81"/>
            <rFont val="Tahoma"/>
            <family val="2"/>
          </rPr>
          <t>Muhammad Yasin Nurfadllilah:</t>
        </r>
        <r>
          <rPr>
            <sz val="9"/>
            <color indexed="81"/>
            <rFont val="Tahoma"/>
            <family val="2"/>
          </rPr>
          <t xml:space="preserve">
Midpoint ~USD 2/unit × 16,000. [Indicative]</t>
        </r>
      </text>
    </comment>
    <comment ref="G12" authorId="0" shapeId="0" xr:uid="{D299DC22-3421-43CE-9C58-BA63A0E2769A}">
      <text>
        <r>
          <rPr>
            <b/>
            <sz val="9"/>
            <color indexed="81"/>
            <rFont val="Tahoma"/>
            <family val="2"/>
          </rPr>
          <t>Muhammad Yasin Nurfadllilah:</t>
        </r>
        <r>
          <rPr>
            <sz val="9"/>
            <color indexed="81"/>
            <rFont val="Tahoma"/>
            <family val="2"/>
          </rPr>
          <t xml:space="preserve">
Midpoint ~USD 11.5/set × 16,000. [Indicative]</t>
        </r>
      </text>
    </comment>
    <comment ref="G13" authorId="0" shapeId="0" xr:uid="{65BA822D-71C1-4771-8EEE-E44C12772A07}">
      <text>
        <r>
          <rPr>
            <b/>
            <sz val="9"/>
            <color indexed="81"/>
            <rFont val="Tahoma"/>
            <family val="2"/>
          </rPr>
          <t>Muhammad Yasin Nurfadllilah:</t>
        </r>
        <r>
          <rPr>
            <sz val="9"/>
            <color indexed="81"/>
            <rFont val="Tahoma"/>
            <family val="2"/>
          </rPr>
          <t xml:space="preserve">
Midpoint ~USD 17.5/unit × 16,000. [Indicative]</t>
        </r>
      </text>
    </comment>
    <comment ref="G14" authorId="0" shapeId="0" xr:uid="{E11A33A9-CA0A-4931-9BB3-274A9AFB0C2F}">
      <text>
        <r>
          <rPr>
            <b/>
            <sz val="9"/>
            <color indexed="81"/>
            <rFont val="Tahoma"/>
            <family val="2"/>
          </rPr>
          <t>Muhammad Yasin Nurfadllilah:</t>
        </r>
        <r>
          <rPr>
            <sz val="9"/>
            <color indexed="81"/>
            <rFont val="Tahoma"/>
            <family val="2"/>
          </rPr>
          <t xml:space="preserve">
Midpoint ~USD 77.5/unit × 16,000. [Indicative]</t>
        </r>
      </text>
    </comment>
    <comment ref="C18" authorId="0" shapeId="0" xr:uid="{79324702-8FB5-4DE9-BCBB-9E38FEBC561F}">
      <text>
        <r>
          <rPr>
            <b/>
            <sz val="9"/>
            <color indexed="81"/>
            <rFont val="Tahoma"/>
            <family val="2"/>
          </rPr>
          <t>Muhammad Yasin Nurfadllilah:</t>
        </r>
        <r>
          <rPr>
            <sz val="9"/>
            <color indexed="81"/>
            <rFont val="Tahoma"/>
            <family val="2"/>
          </rPr>
          <t xml:space="preserve">
Illustrative only.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<sst xmlns="http://schemas.openxmlformats.org/spreadsheetml/2006/main" count="8696" uniqueCount="5813">
  <si>
    <t>VOLTLOOP  |  Executive Summary Dashboard</t>
  </si>
  <si>
    <t>Indonesia's Circular Battery Infrastructure  |  Series A Financial Model</t>
  </si>
  <si>
    <t>Active Scenario:</t>
  </si>
  <si>
    <t>Toggle on Assumptions sheet</t>
  </si>
  <si>
    <t>KEY METRICS — 5 YEAR PROJECTION</t>
  </si>
  <si>
    <t>Y5 Revenue</t>
  </si>
  <si>
    <t>Y5 EBITDA</t>
  </si>
  <si>
    <t>Y5 EBITDA %</t>
  </si>
  <si>
    <t>5-Yr IRR</t>
  </si>
  <si>
    <t>Break-Even</t>
  </si>
  <si>
    <t>Y5 CO2 Avoided</t>
  </si>
  <si>
    <t>REVENUE TRAJECTORY (5-Year)</t>
  </si>
  <si>
    <t>Y1</t>
  </si>
  <si>
    <t>Y2</t>
  </si>
  <si>
    <t>Y3</t>
  </si>
  <si>
    <t>Y4</t>
  </si>
  <si>
    <t>Y5</t>
  </si>
  <si>
    <t>Total Revenue</t>
  </si>
  <si>
    <t>Gross Profit</t>
  </si>
  <si>
    <t>EBITDA</t>
  </si>
  <si>
    <t>EBITDA Margin</t>
  </si>
  <si>
    <t>Net Income</t>
  </si>
  <si>
    <t>OPERATIONAL METRICS</t>
  </si>
  <si>
    <t>Active Swap Hubs</t>
  </si>
  <si>
    <t>Active Microgrids</t>
  </si>
  <si>
    <t>Couriers Served</t>
  </si>
  <si>
    <t>Households Electrified</t>
  </si>
  <si>
    <t>CO2 Avoided (tons/yr)</t>
  </si>
  <si>
    <t>Diesel Displaced (L/yr)</t>
  </si>
  <si>
    <t>INVESTMENT ASK &amp; CAPITAL STACK</t>
  </si>
  <si>
    <t>Round</t>
  </si>
  <si>
    <t>Timing</t>
  </si>
  <si>
    <t>Size</t>
  </si>
  <si>
    <t>Pre-Money</t>
  </si>
  <si>
    <t>Post-Money</t>
  </si>
  <si>
    <t>Dilution</t>
  </si>
  <si>
    <t>Pre-Seed</t>
  </si>
  <si>
    <t>Q4 2026</t>
  </si>
  <si>
    <t>Seed</t>
  </si>
  <si>
    <t>Q2 2027</t>
  </si>
  <si>
    <t>Series A</t>
  </si>
  <si>
    <t>Q3 2028</t>
  </si>
  <si>
    <t>Series B</t>
  </si>
  <si>
    <t>Q4 2030</t>
  </si>
  <si>
    <t>"One Battery. Three Lives. Infinite Impact."</t>
  </si>
  <si>
    <t>AXION — VOLTLOOP Ecosystem</t>
  </si>
  <si>
    <t>Business Process Architecture — Skenario Start-up (Modul 6 Kelompok 1)</t>
  </si>
  <si>
    <t>Konteks Perusahaan</t>
  </si>
  <si>
    <t>Nama Perusahaan</t>
  </si>
  <si>
    <t>AXION (VOLTLOOP Ecosystem)</t>
  </si>
  <si>
    <t>Industri</t>
  </si>
  <si>
    <t>Battery Lifecycle Management &amp; EV Infrastructure</t>
  </si>
  <si>
    <t>Produk/Layanan</t>
  </si>
  <si>
    <t>VoltBattery, VoltSwap (battery swap network), VoltOS (battery intelligence platform), VoltGrid (2nd-life ESS)</t>
  </si>
  <si>
    <t>Target Customer</t>
  </si>
  <si>
    <t xml:space="preserve">B2C: pengendara motor listrik; B2B: fleet operator, ride-hailing, logistik last-mile, utility/ESS buyer; B2G: kemitraan kota &amp; program elektrifikasi </t>
  </si>
  <si>
    <t>Model Bisnis</t>
  </si>
  <si>
    <t>Hybrid: Battery-as-a-Service (subscription), Pay-per-Swap, ESS Leasing, Data/Analytics Licensing</t>
  </si>
  <si>
    <t>Tahap Bisnis</t>
  </si>
  <si>
    <t>Early Stage / Pilot Project</t>
  </si>
  <si>
    <t>Early Stage / Start-up (Skenario 2)</t>
  </si>
  <si>
    <t>Tujuan Dokumen</t>
  </si>
  <si>
    <t>Submission Modul 6 + Proposal Bisnis VOLTLOOP</t>
  </si>
  <si>
    <t>Daftar Isi (Sheet)</t>
  </si>
  <si>
    <t>Struktur Workbook</t>
  </si>
  <si>
    <t>BAGIAN A — PENDAHULUAN</t>
  </si>
  <si>
    <t>00_Cover</t>
  </si>
  <si>
    <t>Halaman judul + konteks perusahaan + daftar isi</t>
  </si>
  <si>
    <t>01_Executive_Overview</t>
  </si>
  <si>
    <t>Ringkasan proses inti, pendukung, value chain start-up</t>
  </si>
  <si>
    <t>BAGIAN B — TEMPLATE MODUL 6 (UTAMA)</t>
  </si>
  <si>
    <t>02_VMV_Startup</t>
  </si>
  <si>
    <t>Visi, Misi (5), Value (8 — VOLT-LOOP-OP)</t>
  </si>
  <si>
    <t>03_Choices</t>
  </si>
  <si>
    <t>Daftar pilihan dropdown (referensi internal)</t>
  </si>
  <si>
    <t>04_Market_Sizing</t>
  </si>
  <si>
    <t>TAM, SAM, SOM 3 tahun</t>
  </si>
  <si>
    <t>05_Objektif</t>
  </si>
  <si>
    <t>8 SMART objectives horizon 3 tahun</t>
  </si>
  <si>
    <t>06_Prosbis_Inti</t>
  </si>
  <si>
    <t>Proses bisnis inti hierarkis L1.L2.L3 (kategori 1–6)</t>
  </si>
  <si>
    <t>07_Prosbis_Pendukung</t>
  </si>
  <si>
    <t>Proses bisnis pendukung hierarkis (kategori 7–13)</t>
  </si>
  <si>
    <t>08_Task_Interdependency</t>
  </si>
  <si>
    <t>Keterkaitan input-output antar-proses</t>
  </si>
  <si>
    <t>09_Struktur_Organisasi</t>
  </si>
  <si>
    <t>Bagan organisasi fungsional + rincian divisi</t>
  </si>
  <si>
    <t>10_Matriks_RAM</t>
  </si>
  <si>
    <t>RACI 12 proses L1 × 7 departemen</t>
  </si>
  <si>
    <t>BAGIAN C — APPENDIX PENDUKUNG (AXION)</t>
  </si>
  <si>
    <t>A1_Level4_Activity</t>
  </si>
  <si>
    <t>Breakdown aktivitas Level 4 untuk 6 proses kritis</t>
  </si>
  <si>
    <t>A2_E2E_Flow</t>
  </si>
  <si>
    <t>End-to-end flow (Lead-to-Cash, P2P, O2D, dll.)</t>
  </si>
  <si>
    <t>A3_KPI</t>
  </si>
  <si>
    <t>KPI dengan formula &amp; PIC</t>
  </si>
  <si>
    <t>A4_Risk_Control</t>
  </si>
  <si>
    <t>Risk register dengan heatmap probability-impact</t>
  </si>
  <si>
    <t>A5_SOP_Draft</t>
  </si>
  <si>
    <t>Draft SOP 3 proses paling kritis</t>
  </si>
  <si>
    <t>A6_Improvement</t>
  </si>
  <si>
    <t>Rekomendasi perbaikan proses</t>
  </si>
  <si>
    <t>EXECUTIVE OVERVIEW — VOLTLOOP START-UP</t>
  </si>
  <si>
    <t>Ringkasan satu halaman untuk pembaca cepat — detail lengkap ada di sheet template &amp; appendix.</t>
  </si>
  <si>
    <t>Komponen</t>
  </si>
  <si>
    <t>Deskripsi</t>
  </si>
  <si>
    <t>Proses Inti (Core Value Chain)</t>
  </si>
  <si>
    <t>Battery Procurement → Battery Testing → VoltBattery Registration → Fleet Deployment → VoltSwap Operation → VoltOS Monitoring → Battery Grading → Lifecycle Routing → VoltGrid / Recycling. Inti bisnis AXION adalah mengelola siklus hidup baterai lithium dari first-life (motor listrik) hingga second-life (ESS) dan end-of-life (recycling), didukung oleh digital twin VoltOS.</t>
  </si>
  <si>
    <t>Proses Pendukung (Support)</t>
  </si>
  <si>
    <t>HR (talent battery engineer, swap operator), Finance &amp; Treasury, IT/Cloud Infrastructure untuk VoltOS, Asset Management (stasiun swap, gudang baterai), Procurement vendor cell, Legal &amp; permit, Marketing-Sales B2B/B2C.</t>
  </si>
  <si>
    <t>Proses Tata Kelola (Governance)</t>
  </si>
  <si>
    <t>Risk management baterai (thermal runaway, fire safety), Compliance lingkungan (B3 waste, Permen LHK), Quality Assurance grading, Data governance VoltOS, ESG reporting, External Relationship (regulator, mitra recycling, utility).</t>
  </si>
  <si>
    <t>Alur Nilai (Input → Output)</t>
  </si>
  <si>
    <t>INPUT: cell baterai dari supplier, energi listrik PLN, modal investor, talenta engineer. PROSES: assembly + testing → deploy ke fleet/swap station → monitoring real-time → grading → routing ke second-life/recycle. OUTPUT: energi mobilitas terjangkau, BaaS subscription, ESS untuk grid, recovered material. CAPTURED VALUE: subscription fee, swap fee, ESS leasing, carbon credit, data licensing.</t>
  </si>
  <si>
    <t>Customer Utama</t>
  </si>
  <si>
    <t>(1) Pengendara motor listrik harian (B2C-swap), (2) Fleet operator ride-hailing/logistik (B2B-BaaS), (3) Pembeli ESS komersial &amp; utility (B2B-VoltGrid), (4) Mitra pemerintah kota &amp; program elektrifikasi (B2G).</t>
  </si>
  <si>
    <t>Value Creation</t>
  </si>
  <si>
    <t>Menciptakan nilai melalui ekstensi umur baterai (1st life + 2nd life = 2× revenue per unit), efisiensi waktu pengisian (&lt;2 menit swap vs ~4 jam charging), dan intelijen data VoltOS untuk predictive maintenance.</t>
  </si>
  <si>
    <t>Value Delivery</t>
  </si>
  <si>
    <t>Mengirim nilai via jaringan VoltSwap (titik fisik), platform VoltOS (digital), dan layanan after-sales/SLA. Fleet B2B menerima SLA uptime baterai; B2C menerima kemudahan swap.</t>
  </si>
  <si>
    <t>Value Capture</t>
  </si>
  <si>
    <t>Multi-stream: (a) Battery-as-a-Service subscription bulanan, (b) Pay-per-Swap, (c) ESS leasing/sale ke VoltGrid buyer, (d) Material recovery dari recycling partner, (e) Data &amp; analytics licensing, (f) Carbon credit &amp; ESG incentive.</t>
  </si>
  <si>
    <t>PERUMUSAN VISI, MISI, DAN VALUE PERUSAHAAN — SKENARIO START-UP (AXION / VOLTLOOP)</t>
  </si>
  <si>
    <t>Skenario 2 — DIFFERENTIATION: Battery Intelligence Premium untuk Fleet B2B</t>
  </si>
  <si>
    <t>VISI</t>
  </si>
  <si>
    <t>Pernyataan Visi</t>
  </si>
  <si>
    <t>Penjelasan</t>
  </si>
  <si>
    <t>Menjadi platform ekosistem baterai terdepan di Asia Tenggara yang menghadirkan mobilitas listrik terjangkau dan berkelanjutan melalui inovasi VOLTLOOP — mengubah satu baterai menjadi nilai berlapis dari first-life mobilitas hingga second-life energi.</t>
  </si>
  <si>
    <t>Visi start-up AXION fokus pada tiga pilar: (1) jangkauan regional Asia Tenggara sebagai panggung pertumbuhan, (2) ekosistem VOLTLOOP sebagai diferensiasi utama yang menutup loop nilai dari mobilitas ke grid storage, (3) keberlanjutan sebagai komitmen jangka panjang. Visi ini menantang namun realistis untuk start-up yang memulai dari Indonesia.</t>
  </si>
  <si>
    <t>MISI</t>
  </si>
  <si>
    <t>Pernyataan Misi</t>
  </si>
  <si>
    <t>1. Membangun jaringan VoltSwap yang membuat pengisian baterai motor listrik secepat ganti baterai handphone, sehingga pengendara harian tidak lagi terhambat oleh waktu charging.</t>
  </si>
  <si>
    <t>Misi ini menjawab komponen Konsumen (rider B2C) dan Produk/Jasa (VoltSwap). Fokus pada pain point terbesar adopsi EV: waktu charging. Menjadi nilai jual utama untuk akuisisi rider.</t>
  </si>
  <si>
    <t>2. Mengembangkan platform digital VoltOS yang menjadi otak intelijen setiap baterai, memungkinkan monitoring real-time, prediksi umur, dan keputusan lifecycle yang akurat bagi mitra fleet.</t>
  </si>
  <si>
    <t>Menjawab komponen Teknologi dan Pekerja. VoltOS adalah moat teknologi start-up. Menjelaskan bahwa AXION bukan hanya perusahaan hardware, tapi data-driven platform company.</t>
  </si>
  <si>
    <t>3. Memperpanjang umur ekonomis setiap baterai melalui penyaluran ke VoltGrid (second-life ESS) dan kemitraan recycling tersertifikasi, sehingga satu pack menghasilkan nilai berlapis.</t>
  </si>
  <si>
    <t>Menjawab komponen Filosofi dan Pandangan Publik (sustainability). Inti dari ekosistem VOLTLOOP — sirkular economy yang menghasilkan revenue stream tambahan + ESG narrative untuk investor.</t>
  </si>
  <si>
    <t>4. Menjalin kemitraan strategis dengan fleet operator, OEM motor listrik, utility, dan pemerintah daerah untuk mempercepat adopsi kendaraan listrik di kota-kota Indonesia.</t>
  </si>
  <si>
    <t>Menjawab komponen Pasar dan Pemerintah. Menegaskan model B2B2C dan B2G; start-up tidak bisa scale sendirian — partnership adalah strategi pertumbuhan utama.</t>
  </si>
  <si>
    <t>5. Menjaga keselamatan operasi baterai dan kepatuhan terhadap regulasi B3 sebagai prasyarat mutlak bisnis baterai yang dapat dipercaya konsumen, regulator, dan investor.</t>
  </si>
  <si>
    <t>Menjawab komponen Self-Concept dan Pemerintah. Industri baterai punya risiko safety tinggi; misi ini menetapkan safety &amp; compliance sebagai non-negotiable, bukan opsi.</t>
  </si>
  <si>
    <t>VALUES</t>
  </si>
  <si>
    <t>Pernyataan Value</t>
  </si>
  <si>
    <t>V — Velocity (Bergerak Cepat, Belajar Cepat)</t>
  </si>
  <si>
    <t>Start-up menang karena kecepatan eksekusi. Tim mengambil keputusan dengan data minimum yang memadai, merilis fitur dalam siklus pendek, dan belajar dari kegagalan secara cepat.</t>
  </si>
  <si>
    <t>O — Ownership (Tanggung Jawab Penuh atas Hasil)</t>
  </si>
  <si>
    <t>Setiap orang adalah pemilik. Tidak ada “bukan tugas saya”. Setiap engineer, operator, dan ops bertanggung jawab end-to-end pada output yang mereka janjikan.</t>
  </si>
  <si>
    <t>L — Longevity (Membangun untuk Jangka Panjang)</t>
  </si>
  <si>
    <t>Mencerminkan filosofi VOLTLOOP: memperpanjang umur baterai, memperpanjang umur perusahaan. Keputusan diambil dengan horizon multi-tahun, bukan untuk quick win semata.</t>
  </si>
  <si>
    <t>T — Trust (Aman, Transparan, Dapat Dipercaya)</t>
  </si>
  <si>
    <t>Bisnis baterai bergantung pada kepercayaan. Transparansi pada data baterai, billing, safety report, dan kepada regulator adalah kewajiban, bukan pilihan.</t>
  </si>
  <si>
    <t>L — Loop Thinking (Berpikir Sirkular)</t>
  </si>
  <si>
    <t>Setiap proses dirancang dengan akhir dalam pikiran: apa yang terjadi setelah pack ini pensiun? Mendorong inovasi second-life dan recycling sejak desain.</t>
  </si>
  <si>
    <t>O — Open Collaboration (Ekosistem, Bukan Silo)</t>
  </si>
  <si>
    <t>AXION tidak bisa scale sendirian. Bekerja terbuka dengan OEM, fleet, utility, regulator, dan komunitas riset — saling bagi nilai, saling tumbuh.</t>
  </si>
  <si>
    <t>O — Operational Discipline (Disiplin Operasional &amp; K3)</t>
  </si>
  <si>
    <t>Kecepatan tidak boleh mengorbankan keselamatan. Discipline pada SOP K3, audit, dan compliance B3 adalah harga mati dalam industri baterai.</t>
  </si>
  <si>
    <t>P — Planet-First (Berpihak pada Bumi)</t>
  </si>
  <si>
    <t>Setiap keputusan bisnis dievaluasi tidak hanya pada profit, tapi pada dampak terhadap lingkungan. Carbon avoided dan circular metric adalah KPI yang dilaporkan.</t>
  </si>
  <si>
    <t>DAFTAR PILIHAN (DROPDOWN REFERENCE) — AXION/VOLTLOOP</t>
  </si>
  <si>
    <t>Faktor Lingkungan Bisnis</t>
  </si>
  <si>
    <t>Tingkat</t>
  </si>
  <si>
    <t>Ketersediaan</t>
  </si>
  <si>
    <t>Komponen Misi</t>
  </si>
  <si>
    <t>Low</t>
  </si>
  <si>
    <t>Ada</t>
  </si>
  <si>
    <t>Konsumen</t>
  </si>
  <si>
    <t>Bahan Baku</t>
  </si>
  <si>
    <t>Medium</t>
  </si>
  <si>
    <t>Tidak Ada</t>
  </si>
  <si>
    <t>Produk / Jasa</t>
  </si>
  <si>
    <t>Tenaga Kerja</t>
  </si>
  <si>
    <t>High</t>
  </si>
  <si>
    <t>Pasar</t>
  </si>
  <si>
    <t>Keuangan</t>
  </si>
  <si>
    <t>Teknologi</t>
  </si>
  <si>
    <t>Filosofi</t>
  </si>
  <si>
    <t>Self-Concept</t>
  </si>
  <si>
    <t>Kondisi Ekonomi</t>
  </si>
  <si>
    <t>Pandangan Publik</t>
  </si>
  <si>
    <t>Pemerintah</t>
  </si>
  <si>
    <t>Pekerja</t>
  </si>
  <si>
    <t>Kebudayaan</t>
  </si>
  <si>
    <t>Fokus</t>
  </si>
  <si>
    <t>Alam</t>
  </si>
  <si>
    <t>Internasional</t>
  </si>
  <si>
    <t>PENENTUAN UKURAN PASAR (MARKET SIZING) — AXION / VOLTLOOP (Start-up)</t>
  </si>
  <si>
    <t>Penjelasan Deskriptif Lingkup Market Sizing</t>
  </si>
  <si>
    <t>AXION beroperasi di tiga pasar terhubung: (1) Battery-as-a-Service untuk motor listrik dan fleet operator di kota-kota Indonesia tier-1 dan tier-2, (2) Energy Storage System (ESS) second-life untuk klien komersial dan utility, (3) data &amp; analytics baterai sebagai add-on. Market sizing fokus pada pasar Indonesia 2026–2030 dengan asumsi laju adopsi EV mengikuti roadmap Kementerian ESDM. [Asumsi: data populasi motor &amp; penetrasi EV menggunakan referensi publik AISI/Kemenperin yang perlu validasi terkini].</t>
  </si>
  <si>
    <t>TOTAL AVAILABLE MARKET (TAM)</t>
  </si>
  <si>
    <t>Komponen TAM</t>
  </si>
  <si>
    <t>Nilai/Estimasi</t>
  </si>
  <si>
    <t>Asumsi &amp; Sumber</t>
  </si>
  <si>
    <t>Source Link</t>
  </si>
  <si>
    <t>Total populasi motor di Indonesia</t>
  </si>
  <si>
    <t>± 125 juta unit</t>
  </si>
  <si>
    <t>Populasi motor nasional [Perlu Validasi — AISI / Korlantas Polri]</t>
  </si>
  <si>
    <t>BPS Statistik Kendaraan</t>
  </si>
  <si>
    <t>Potensi konversi motor BBM → motor listrik dalam 5 tahun (10%)</t>
  </si>
  <si>
    <t>± 12,5 juta unit</t>
  </si>
  <si>
    <t>[Asumsi] roadmap akselerasi EV ESDM target 2025–2030</t>
  </si>
  <si>
    <t>ESDM Roadmap EV 2030</t>
  </si>
  <si>
    <t>Nilai pasar layanan energi (BaaS + swap) per unit/tahun</t>
  </si>
  <si>
    <t>Rp 3–4 juta/unit/tahun</t>
  </si>
  <si>
    <t>[Asumsi] tarif swap Rp 8–10 rb x 350–400 swap/tahun per rider aktif</t>
  </si>
  <si>
    <t>Internal estimate</t>
  </si>
  <si>
    <t>TAM Mobility (BaaS) — estimasi</t>
  </si>
  <si>
    <t>± Rp 40–50 triliun/tahun</t>
  </si>
  <si>
    <t>12,5 jt unit x Rp 3,5 jt/tahun [Asumsi gabungan]</t>
  </si>
  <si>
    <t>Kalkulasi internal</t>
  </si>
  <si>
    <t>TAM ESS Indonesia (industri, telco, gedung komersial)</t>
  </si>
  <si>
    <t>± Rp 8–12 triliun/tahun</t>
  </si>
  <si>
    <t>[Perlu Validasi] referensi pasar ESS BloombergNEF / PLN</t>
  </si>
  <si>
    <t>Mordor Intelligence ASEAN ESS</t>
  </si>
  <si>
    <t>TAM TOTAL (Mobility + ESS)</t>
  </si>
  <si>
    <t>± Rp 50–60 triliun/tahun</t>
  </si>
  <si>
    <t>Penjumlahan kasar TAM kedua segmen</t>
  </si>
  <si>
    <t>Penjumlahan TAM</t>
  </si>
  <si>
    <t>SERVICEABLE AVAILABLE MARKET (SAM)</t>
  </si>
  <si>
    <t>Komponen SAM</t>
  </si>
  <si>
    <t>Kota target 5 tahun (Jabodetabek, Bandung, Surabaya, Medan, Makassar)</t>
  </si>
  <si>
    <t>5 kota tier-1</t>
  </si>
  <si>
    <t>Lokasi dgn kepadatan motor + dukungan kebijakan EV Pemda [Asumsi]</t>
  </si>
  <si>
    <t>Internal — target kota</t>
  </si>
  <si>
    <t>Populasi rider motor harian di 5 kota target</t>
  </si>
  <si>
    <t>± 20 juta rider</t>
  </si>
  <si>
    <t>[Asumsi] berbasis data BPS kota; perlu validasi</t>
  </si>
  <si>
    <t>BPS Kota</t>
  </si>
  <si>
    <t>Potensi konversi ke EV + adopsi swap (5%)</t>
  </si>
  <si>
    <t>± 1 juta rider</t>
  </si>
  <si>
    <t>[Asumsi] adoption rate konservatif start-up</t>
  </si>
  <si>
    <t>Internal adoption rate</t>
  </si>
  <si>
    <t>SAM Mobility (5 kota, 5 tahun)</t>
  </si>
  <si>
    <t>± Rp 3,5–4 triliun/tahun</t>
  </si>
  <si>
    <t>1 jt rider x Rp 3,5 jt/tahun</t>
  </si>
  <si>
    <t>SAM ESS untuk klien fleet, telco, gedung komersial di 5 kota</t>
  </si>
  <si>
    <t>± Rp 1,5 triliun/tahun</t>
  </si>
  <si>
    <t>[Asumsi] ±15% pangsa ESS di kota target</t>
  </si>
  <si>
    <t>IndexBox Indonesia AESS</t>
  </si>
  <si>
    <t>SAM TOTAL</t>
  </si>
  <si>
    <t>± Rp 5–5,5 triliun/tahun</t>
  </si>
  <si>
    <t>Penjumlahan segmen yang bisa dilayani secara realistis</t>
  </si>
  <si>
    <t>Penjumlahan SAM</t>
  </si>
  <si>
    <t>SERVICEABLE OBTAINABLE MARKET (SOM)</t>
  </si>
  <si>
    <t>Komponen SOM (3 tahun pertama)</t>
  </si>
  <si>
    <t>Tahun 1 — Pilot Jakarta (3 area + 2 fleet operator anchor)</t>
  </si>
  <si>
    <t>200 swap station, 5.000 rider aktif, 3 kontrak fleet</t>
  </si>
  <si>
    <t>[Asumsi] kapasitas eksekusi start-up tahap awal</t>
  </si>
  <si>
    <t>Internal — pilot plan</t>
  </si>
  <si>
    <t>Tahun 2 — Ekspansi Jabodetabek + Bandung</t>
  </si>
  <si>
    <t>500 station, 20.000 rider, 10 fleet, ESS pilot 5 site</t>
  </si>
  <si>
    <t>[Asumsi] berbasis funding Series A</t>
  </si>
  <si>
    <t>Internal — Series A</t>
  </si>
  <si>
    <t>Tahun 3 — 5 kota tier-1 aktif</t>
  </si>
  <si>
    <t>1.200 station, 60.000 rider, 25 fleet, 30 ESS site</t>
  </si>
  <si>
    <t>[Asumsi] berbasis funding Series B</t>
  </si>
  <si>
    <t>Internal — Series B</t>
  </si>
  <si>
    <t>SOM Mobility revenue Tahun 3</t>
  </si>
  <si>
    <t>± Rp 210 miliar/tahun</t>
  </si>
  <si>
    <t>60.000 rider x Rp 3,5 jt/tahun</t>
  </si>
  <si>
    <t>SOM ESS revenue Tahun 3</t>
  </si>
  <si>
    <t>± Rp 45 miliar/tahun</t>
  </si>
  <si>
    <t>30 site x ±Rp 1,5 mil/tahun [Asumsi]</t>
  </si>
  <si>
    <t>SOM TOTAL Tahun 3</t>
  </si>
  <si>
    <t>± Rp 255 miliar/tahun</t>
  </si>
  <si>
    <t>Sekitar 5% dari SAM — wajar untuk start-up agresif</t>
  </si>
  <si>
    <t>5% SAM — benchmark</t>
  </si>
  <si>
    <t>RINGKASAN</t>
  </si>
  <si>
    <t>TAM</t>
  </si>
  <si>
    <t>SAM</t>
  </si>
  <si>
    <t>SOM (Tahun 3)</t>
  </si>
  <si>
    <t>Catatan</t>
  </si>
  <si>
    <t>Seluruh angka di sheet ini bersifat indikatif berbasis asumsi start-up. Validasi resmi diperlukan sebelum dipakai dalam proposal investor.</t>
  </si>
  <si>
    <t>PENETAPAN OBJEKTIF — AXION / VOLTLOOP (Skenario Start-up)</t>
  </si>
  <si>
    <t>OBJEKTIF STRATEGIS START-UP — HORIZON 3 TAHUN</t>
  </si>
  <si>
    <t>No.</t>
  </si>
  <si>
    <t>Objektif (SMART)</t>
  </si>
  <si>
    <t>Komponen Misi yang Dijawab</t>
  </si>
  <si>
    <t>Alasan</t>
  </si>
  <si>
    <t>Referensi / Sumber</t>
  </si>
  <si>
    <t>Membangun dan menjalankan 200 VoltSwap station di Jakarta serta menjaring 5.000 rider aktif dan 3 kontrak fleet anchor dalam 12 bulan pertama operasional.</t>
  </si>
  <si>
    <t>Misi 1 (jaringan swap), Misi 4 (kemitraan fleet)</t>
  </si>
  <si>
    <t>Tanpa kepadatan station, value proposition swap &lt; 2 menit tidak tercapai. Anchor fleet memberi base load demand yang menjamin utilisasi station di fase awal.</t>
  </si>
  <si>
    <t>Asumsi internal start-up; perlu validasi rencana CAPEX dan kemitraan lokasi [Perlu Validasi]</t>
  </si>
  <si>
    <t>Mencapai swap success rate ≥ 99% dan avg swap time ≤ 120 detik pada akhir Tahun 1, serta NPS rider ≥ 40.</t>
  </si>
  <si>
    <t>Misi 1, Value Velocity &amp; Trust</t>
  </si>
  <si>
    <t>Reliability operasional menjadi syarat retention rider; tanpa ini akuisisi rider akan bocor oleh churn dan biaya akuisisi membengkak.</t>
  </si>
  <si>
    <t>KPI internal Operations (sheet 9_KPI)</t>
  </si>
  <si>
    <t>Merilis VoltOS v1.0 dengan modul: real-time monitoring, billing, dan API integrasi fleet partner pada Q3 Tahun 1; mencapai uptime ≥ 99,5% pada Q4 Tahun 1.</t>
  </si>
  <si>
    <t>Misi 2 (platform VoltOS)</t>
  </si>
  <si>
    <t>VoltOS adalah moat teknologi sekaligus enabler operasional. Tanpa platform yang reliable, sulit menarik fleet B2B.</t>
  </si>
  <si>
    <t>Roadmap CTO; sejajar dgn rencana Series A fundraising</t>
  </si>
  <si>
    <t>Menjaga zero major safety incident (thermal runaway/kebakaran) dan 100% manifest B3 compliance selama 3 tahun operasional.</t>
  </si>
  <si>
    <t>Misi 5 (safety &amp; compliance), Value Operational Discipline</t>
  </si>
  <si>
    <t>Satu insiden besar dapat menghancurkan kepercayaan publik dan menutup izin operasional. Non-negotiable bagi industri baterai.</t>
  </si>
  <si>
    <t>Permen LHK No. 6/2021 (B3); SNI baterai; sheet 10_Risk_Control</t>
  </si>
  <si>
    <t>Membangun first second-life ESS deployment dengan minimal 5 site klien komersial pada akhir Tahun 2 dan 30 site pada Tahun 3.</t>
  </si>
  <si>
    <t>Misi 3 (perpanjangan umur baterai)</t>
  </si>
  <si>
    <t>Membuktikan tesis VOLTLOOP (1 pack = 2x revenue). Tanpa ini, start-up hanya akan dilihat sebagai operator swap, bukan platform sirkular.</t>
  </si>
  <si>
    <t>Roadmap VoltGrid; data pilot grading [Perlu Validasi]</t>
  </si>
  <si>
    <t>Mengamankan pendanaan Seed → Series A dengan total Rp 250–350 miliar dalam 24 bulan untuk membiayai CAPEX baterai dan ekspansi station.</t>
  </si>
  <si>
    <t>Semua misi (enabler)</t>
  </si>
  <si>
    <t>Industri baterai sangat CAPEX-intensif. Tanpa cadangan kas yang sehat, ekspansi macet dan risiko going concern muncul.</t>
  </si>
  <si>
    <t>Pitch deck investor; cashflow projection finance team</t>
  </si>
  <si>
    <t>Membangun tim inti 80–120 orang pada akhir Tahun 1 dengan turnover engineer &lt; 10% dan mempertahankan ESOP sebagai retention tool utama.</t>
  </si>
  <si>
    <t>Misi 2 (VoltOS), Value Ownership</t>
  </si>
  <si>
    <t>Talenta battery engineer dan data scientist langka. Tim adalah aset strategis; turnover tinggi akan menggagalkan roadmap produk.</t>
  </si>
  <si>
    <t>Manpower plan HR; pasar talenta tech Indonesia</t>
  </si>
  <si>
    <t>Menjalin minimal 5 kemitraan strategis (OEM motor listrik, fleet operator besar, utility, recycling, dan Pemda) yang aktif berkontribusi pada operasi pada Tahun 2.</t>
  </si>
  <si>
    <t>Misi 4 (kemitraan)</t>
  </si>
  <si>
    <t>Start-up tidak bisa scale sendirian. Ekosistem adalah strategi akuisisi pelanggan dan distribusi yang paling efisien.</t>
  </si>
  <si>
    <t>Pipeline kemitraan; sheet 13_Architecture (F. External)</t>
  </si>
  <si>
    <t>PROSES BISNIS INTI &amp; KETERSINAMBUNGAN ANTARPROSES — AXION / VOLTLOOP (Start-up)</t>
  </si>
  <si>
    <t>Proses Bisnis Inti</t>
  </si>
  <si>
    <t>Data yang akan diubah</t>
  </si>
  <si>
    <t>Asal Input</t>
  </si>
  <si>
    <t>Keterangan</t>
  </si>
  <si>
    <t>L1</t>
  </si>
  <si>
    <t>L2</t>
  </si>
  <si>
    <t>L3</t>
  </si>
  <si>
    <t>Nama Proses</t>
  </si>
  <si>
    <t>Input</t>
  </si>
  <si>
    <t>Output</t>
  </si>
  <si>
    <t>(kode proses)</t>
  </si>
  <si>
    <t>Mengembangkan Visi, Misi, dan Strategi Perusahaan</t>
  </si>
  <si>
    <t>Menyusun arah dasar start-up AXION</t>
  </si>
  <si>
    <t>Memahami kebutuhan pasar mobilitas listrik &amp; kapabilitas start-up</t>
  </si>
  <si>
    <t>Feedback rider pilot, kapasitas mitra produksi, benchmark kompetitor swap (Gogoro, SUN Mobility), regulasi EV ESDM</t>
  </si>
  <si>
    <t>Ringkasan peluang pasar, pain point prioritas, pemetaan keunggulan &amp; keterbatasan</t>
  </si>
  <si>
    <t>—</t>
  </si>
  <si>
    <t>Sumber: hasil interview rider awal, desk research</t>
  </si>
  <si>
    <t>Merumuskan identitas &amp; nilai strategis start-up</t>
  </si>
  <si>
    <t>Hasil pemetaan keunggulan/keterbatasan, analisis tren EV</t>
  </si>
  <si>
    <t>Visi, misi, nilai inti (VOLT-LOOP), narasi brand awal, landasan pitch</t>
  </si>
  <si>
    <t>1.1.1</t>
  </si>
  <si>
    <t>Output utama dipakai di seluruh dokumen strategi</t>
  </si>
  <si>
    <t>Menyusun prioritas &amp; target strategis jangka pendek–menengah</t>
  </si>
  <si>
    <t>Visi, misi, nilai inti, landasan pitch</t>
  </si>
  <si>
    <t>Rencana prioritas 6–12 bulan, KPI strategis awal, draft roadmap 3 tahun</t>
  </si>
  <si>
    <t>1.1.2</t>
  </si>
  <si>
    <t>Menjadi basis OKR korporat dan target fundraising</t>
  </si>
  <si>
    <t>Menyusun strategi fundraising &amp; investment thesis</t>
  </si>
  <si>
    <t>Menyusun financial model &amp; unit economics per pack</t>
  </si>
  <si>
    <t>Asumsi CAPEX baterai, tariff swap, OPEX station</t>
  </si>
  <si>
    <t>Financial model 3 tahun, payback per pack</t>
  </si>
  <si>
    <t>1.1.3</t>
  </si>
  <si>
    <t>Validasi dgn industri benchmark</t>
  </si>
  <si>
    <t>Menyusun pitch deck &amp; investor narrative</t>
  </si>
  <si>
    <t>Financial model, traction pilot, market sizing</t>
  </si>
  <si>
    <t>Pitch deck Seed/Series A</t>
  </si>
  <si>
    <t>1.2.1, 1.1.2</t>
  </si>
  <si>
    <t>Input untuk roadshow</t>
  </si>
  <si>
    <t>Mengembangkan dan Mengelola Produk (VoltBattery, VoltSwap, VoltOS, VoltGrid)</t>
  </si>
  <si>
    <t>Mengembangkan VoltBattery pack</t>
  </si>
  <si>
    <t>Menyusun spesifikasi pack (form-factor, kapasitas, BMS, safety)</t>
  </si>
  <si>
    <t>Profil motor listrik target, regulasi SNI baterai</t>
  </si>
  <si>
    <t>Spec sheet VoltBattery v1.0</t>
  </si>
  <si>
    <t>Mengacu pada standar interoperability swap</t>
  </si>
  <si>
    <t>Membuat prototipe &amp; uji bench</t>
  </si>
  <si>
    <t>Spec sheet, vendor sample cell</t>
  </si>
  <si>
    <t>Prototipe teruji + laporan uji lab</t>
  </si>
  <si>
    <t>2.1.1</t>
  </si>
  <si>
    <t>3–5 iterasi prototipe</t>
  </si>
  <si>
    <t>Mendapatkan sertifikasi (SNI, LSPro)</t>
  </si>
  <si>
    <t>Prototipe final, dokumen uji</t>
  </si>
  <si>
    <t>Sertifikat SNI VoltBattery</t>
  </si>
  <si>
    <t>2.1.2</t>
  </si>
  <si>
    <t>Prasyarat penjualan komersial</t>
  </si>
  <si>
    <t>Membangun platform VoltOS</t>
  </si>
  <si>
    <t>Mendesain arsitektur cloud + IoT VoltOS</t>
  </si>
  <si>
    <t>Requirement fleet/rider, volume telemetri estimasi</t>
  </si>
  <si>
    <t>Arsitektur, spec API</t>
  </si>
  <si>
    <t>Multi-tenant, scalable</t>
  </si>
  <si>
    <t>Membangun modul core (monitoring, billing, integrasi)</t>
  </si>
  <si>
    <t>VoltOS v1.0 release</t>
  </si>
  <si>
    <t>2.2.1</t>
  </si>
  <si>
    <t>Sprint 6–9 bulan</t>
  </si>
  <si>
    <t>Mendesain VoltSwap station</t>
  </si>
  <si>
    <t>Mendesain form-factor station, locker, sensor, dan UX</t>
  </si>
  <si>
    <t>Spec VoltBattery, lokasi pilot, safety code</t>
  </si>
  <si>
    <t>Blueprint station v1.x</t>
  </si>
  <si>
    <t>Modular agar mudah deploy</t>
  </si>
  <si>
    <t>Memasarkan dan Menjual Produk</t>
  </si>
  <si>
    <t>Akuisisi rider B2C</t>
  </si>
  <si>
    <t>Menyusun strategi growth (digital + komunitas)</t>
  </si>
  <si>
    <t>Segmentasi rider, pricing</t>
  </si>
  <si>
    <t>Campaign plan &amp; content calendar</t>
  </si>
  <si>
    <t>Channel: ride-hailing, komunitas motor</t>
  </si>
  <si>
    <t>Menjalankan akuisisi &amp; onboarding rider</t>
  </si>
  <si>
    <t>Campaign plan, app, station ready</t>
  </si>
  <si>
    <t>Rider terdaftar &amp; aktif</t>
  </si>
  <si>
    <t>3.1.1</t>
  </si>
  <si>
    <t>Target 5.000 rider aktif Tahun 1</t>
  </si>
  <si>
    <t>Akuisisi fleet B2B (BaaS)</t>
  </si>
  <si>
    <t>Mengidentifikasi &amp; qualify lead fleet</t>
  </si>
  <si>
    <t>Database fleet operator, pipeline</t>
  </si>
  <si>
    <t>Qualified pipeline B2B</t>
  </si>
  <si>
    <t>Fokus ride-hailing &amp; logistik</t>
  </si>
  <si>
    <t>Pilot 30 hari + konversi ke kontrak BaaS</t>
  </si>
  <si>
    <t>Qualified pipeline, SLA template</t>
  </si>
  <si>
    <t>Kontrak BaaS aktif</t>
  </si>
  <si>
    <t>3.2.1</t>
  </si>
  <si>
    <t>3 anchor di Tahun 1</t>
  </si>
  <si>
    <t>Penjualan VoltGrid (ESS second-life)</t>
  </si>
  <si>
    <t>Identifikasi klien ESS (komersial, telco, utility)</t>
  </si>
  <si>
    <t>Profil demand ESS, inventory baterai grade B/C</t>
  </si>
  <si>
    <t>Pipeline ESS</t>
  </si>
  <si>
    <t>5.2.2</t>
  </si>
  <si>
    <t>Mulai Tahun 2</t>
  </si>
  <si>
    <t>Closing kontrak ESS</t>
  </si>
  <si>
    <t>Pipeline ESS, proposal teknis</t>
  </si>
  <si>
    <t>Kontrak ESS</t>
  </si>
  <si>
    <t>3.3.1</t>
  </si>
  <si>
    <t>Target 5 site Tahun 2</t>
  </si>
  <si>
    <t>Mengelola Rantai Pasok Produk Fisik (Procure-to-Deploy)</t>
  </si>
  <si>
    <t>Pengadaan cell baterai &amp; komponen</t>
  </si>
  <si>
    <t>Forecast demand baterai</t>
  </si>
  <si>
    <t>Pipeline B2B, akuisisi rider</t>
  </si>
  <si>
    <t>Demand forecast kuartalan</t>
  </si>
  <si>
    <t>3.1.2, 3.2.2</t>
  </si>
  <si>
    <t>Update bulanan</t>
  </si>
  <si>
    <t>Sourcing supplier &amp; menetapkan AVL</t>
  </si>
  <si>
    <t>Spec, demand forecast, audit supplier</t>
  </si>
  <si>
    <t>Approved Vendor List + PO</t>
  </si>
  <si>
    <t>4.1.1, 2.1.1</t>
  </si>
  <si>
    <t>Dual-source mandatory</t>
  </si>
  <si>
    <t>Assembly &amp; testing VoltBattery</t>
  </si>
  <si>
    <t>Incoming QC + assembly</t>
  </si>
  <si>
    <t>Cell + BMS + casing, work instruction</t>
  </si>
  <si>
    <t>Pack rakitan + log QC</t>
  </si>
  <si>
    <t>4.1.2</t>
  </si>
  <si>
    <t>100% EOL test</t>
  </si>
  <si>
    <t>Registrasi VoltBattery di VoltOS</t>
  </si>
  <si>
    <t>Pack lulus QC, UID range</t>
  </si>
  <si>
    <t>VoltBattery teregistrasi siap deploy</t>
  </si>
  <si>
    <t>4.2.1, 2.2.2</t>
  </si>
  <si>
    <t>Pairing BMS otomatis</t>
  </si>
  <si>
    <t>Distribusi &amp; reverse logistics</t>
  </si>
  <si>
    <t>Distribusi pack baru ke station</t>
  </si>
  <si>
    <t>Inventory plan, fleet &amp; station data</t>
  </si>
  <si>
    <t>Stok station terisi</t>
  </si>
  <si>
    <t>4.2.2</t>
  </si>
  <si>
    <t>Fill rate ≥ 95%</t>
  </si>
  <si>
    <t>Reverse logistics pack aging/EOL</t>
  </si>
  <si>
    <t>Routing decision VoltOS</t>
  </si>
  <si>
    <t>Pack terkumpul di hub sortir</t>
  </si>
  <si>
    <t>Sesuai grading A/B/C/X</t>
  </si>
  <si>
    <t>Memberikan Layanan (VoltSwap, VoltOS, VoltGrid)</t>
  </si>
  <si>
    <t>Operasi VoltSwap network</t>
  </si>
  <si>
    <t>Transaksi swap rider (autentikasi → swap → billing)</t>
  </si>
  <si>
    <t>Akun rider aktif, pack charged</t>
  </si>
  <si>
    <t>Successful swap + billing entry</t>
  </si>
  <si>
    <t>4.3.1, 3.1.2</t>
  </si>
  <si>
    <t>Target &lt; 120 detik</t>
  </si>
  <si>
    <t>Recharge baterai kosong di locker</t>
  </si>
  <si>
    <t>Pack kosong, profil charging</t>
  </si>
  <si>
    <t>Pack ter-recharge, kembali ke pool</t>
  </si>
  <si>
    <t>5.1.1</t>
  </si>
  <si>
    <t>Termal monitor real-time</t>
  </si>
  <si>
    <t>Operasi VoltOS battery intelligence</t>
  </si>
  <si>
    <t>Real-time monitoring &amp; anomaly detection</t>
  </si>
  <si>
    <t>Telemetri BMS, GPS</t>
  </si>
  <si>
    <t>Health score, alert</t>
  </si>
  <si>
    <t>2.2.2, 5.1.2</t>
  </si>
  <si>
    <t>Latency &lt; 5 detik</t>
  </si>
  <si>
    <t>Battery grading &amp; lifecycle routing</t>
  </si>
  <si>
    <t>Riwayat siklus, SoH</t>
  </si>
  <si>
    <t>Grade A/B/C/X + routing decision</t>
  </si>
  <si>
    <t>5.2.1</t>
  </si>
  <si>
    <t>Akurasi target ≥ 95%</t>
  </si>
  <si>
    <t>Operasi VoltGrid (ESS)</t>
  </si>
  <si>
    <t>Instalasi &amp; commissioning ESS</t>
  </si>
  <si>
    <t>Pack grade B/C, site, inverter</t>
  </si>
  <si>
    <t>ESS operasional + SLA aktif</t>
  </si>
  <si>
    <t>5.2.2, 3.3.2</t>
  </si>
  <si>
    <t>Time-to-deploy 14 hari</t>
  </si>
  <si>
    <t>Operasi &amp; maintenance ESS</t>
  </si>
  <si>
    <t>Telemetri ESS, kontrak SLA</t>
  </si>
  <si>
    <t>kWh dilayani, uptime ESS</t>
  </si>
  <si>
    <t>5.3.1</t>
  </si>
  <si>
    <t>Uptime ≥ 99%</t>
  </si>
  <si>
    <t>End-of-life recycling routing</t>
  </si>
  <si>
    <t>Manifest B3 &amp; serah-terima ke mitra recycling</t>
  </si>
  <si>
    <t>Pack grade X, izin pengangkut</t>
  </si>
  <si>
    <t>Bukti recycling + recovered material</t>
  </si>
  <si>
    <t>Compliance 100%</t>
  </si>
  <si>
    <t>Mengelola Layanan Pelanggan</t>
  </si>
  <si>
    <t>Customer service rider &amp; fleet</t>
  </si>
  <si>
    <t>Penerimaan &amp; triage tiket</t>
  </si>
  <si>
    <t>Tiket masuk (in-app, call)</t>
  </si>
  <si>
    <t>Tiket terklasifikasi &amp; prioritas</t>
  </si>
  <si>
    <t>FRT ≤ 5 menit</t>
  </si>
  <si>
    <t>Penyelesaian / eskalasi tiket</t>
  </si>
  <si>
    <t>Tiket prioritas, log VoltOS</t>
  </si>
  <si>
    <t>Tiket closed + survey</t>
  </si>
  <si>
    <t>6.1.1</t>
  </si>
  <si>
    <t>FCR target ≥ 70%</t>
  </si>
  <si>
    <t>Customer success &amp; retention</t>
  </si>
  <si>
    <t>Quarterly Business Review (QBR) untuk fleet anchor</t>
  </si>
  <si>
    <t>Data utilisasi, SLA, NPS</t>
  </si>
  <si>
    <t>Action plan retention</t>
  </si>
  <si>
    <t>5.1.1, 6.1.1</t>
  </si>
  <si>
    <t>QBR setiap kuartal</t>
  </si>
  <si>
    <t>PROSES BISNIS PENDUKUNG &amp; KETERSINAMBUNGAN ANTARPROSES — AXION / VOLTLOOP (Start-up)</t>
  </si>
  <si>
    <t>Proses Bisnis Pendukung</t>
  </si>
  <si>
    <t>Mengembangkan dan Mengelola Sumber Daya Manusia</t>
  </si>
  <si>
    <t>Merancang strategi SDM start-up</t>
  </si>
  <si>
    <t>Mengidentifikasi kebutuhan SDM sesuai tahap start-up</t>
  </si>
  <si>
    <t>Target pertumbuhan 12 bulan, kondisi tim saat ini</t>
  </si>
  <si>
    <t>Daftar kebutuhan SDM prioritas + skill gap</t>
  </si>
  <si>
    <t>Engineer, ops, data scientist prioritas</t>
  </si>
  <si>
    <t>Merancang kebijakan dasar pengelolaan SDM + ESOP</t>
  </si>
  <si>
    <t>Skill gap, praktik kerja, regulasi ketenagakerjaan</t>
  </si>
  <si>
    <t>Kebijakan kerja dasar, skema ESOP</t>
  </si>
  <si>
    <t>7.1.1</t>
  </si>
  <si>
    <t>ESOP kunci retention engineer</t>
  </si>
  <si>
    <t>Rekrutmen &amp; onboarding</t>
  </si>
  <si>
    <t>Menjalankan rekrutmen battery engineer &amp; data scientist</t>
  </si>
  <si>
    <t>Manpower plan, JD</t>
  </si>
  <si>
    <t>Kandidat hired</t>
  </si>
  <si>
    <t>Time-to-hire ≤ 45 hari</t>
  </si>
  <si>
    <t>Onboarding + training K3 baterai wajib</t>
  </si>
  <si>
    <t>Profil kandidat baru, materi K3</t>
  </si>
  <si>
    <t>Karyawan tersertifikasi K3</t>
  </si>
  <si>
    <t>7.2.1</t>
  </si>
  <si>
    <t>Tanpa sertifikat K3, dilarang akses baterai</t>
  </si>
  <si>
    <t>Performance &amp; retention</t>
  </si>
  <si>
    <t>Performance review semesteran</t>
  </si>
  <si>
    <t>OKR, feedback</t>
  </si>
  <si>
    <t>Hasil review + action plan</t>
  </si>
  <si>
    <t>Tied to OKR perusahaan</t>
  </si>
  <si>
    <t>Mengelola Sistem Teknologi Informasi</t>
  </si>
  <si>
    <t>Operasi VoltOS platform &amp; SRE</t>
  </si>
  <si>
    <t>Monitoring uptime &amp; incident response</t>
  </si>
  <si>
    <t>Logs, metrics, runbook</t>
  </si>
  <si>
    <t>Uptime ≥ 99,5%, RCA</t>
  </si>
  <si>
    <t>2.2.2</t>
  </si>
  <si>
    <t>On-call rotation 24/7</t>
  </si>
  <si>
    <t>Release management &amp; deployment</t>
  </si>
  <si>
    <t>Backlog, hasil QA</t>
  </si>
  <si>
    <t>Rilis stabil</t>
  </si>
  <si>
    <t>CI/CD pipeline</t>
  </si>
  <si>
    <t>Cybersecurity &amp; data governance</t>
  </si>
  <si>
    <t>IAM &amp; access control</t>
  </si>
  <si>
    <t>Daftar role, karyawan</t>
  </si>
  <si>
    <t>Akses tervalidasi</t>
  </si>
  <si>
    <t>Least-privilege</t>
  </si>
  <si>
    <t>Compliance UU PDP &amp; ISO 27001 readiness</t>
  </si>
  <si>
    <t>Policy, threat intel</t>
  </si>
  <si>
    <t>Audit &amp; sertifikasi readiness</t>
  </si>
  <si>
    <t>11.1.1</t>
  </si>
  <si>
    <t>Wajib untuk fleet enterprise</t>
  </si>
  <si>
    <t>Mengelola Sumber Daya Finansial</t>
  </si>
  <si>
    <t>Finance, accounting, treasury</t>
  </si>
  <si>
    <t>Closing bulanan &amp; laporan keuangan</t>
  </si>
  <si>
    <t>Transaksi, invoice, payroll</t>
  </si>
  <si>
    <t>Laporan keuangan bulanan</t>
  </si>
  <si>
    <t>Audit-ready</t>
  </si>
  <si>
    <t>Manajemen kas &amp; cashflow forecast</t>
  </si>
  <si>
    <t>AR/AP, fundraising plan</t>
  </si>
  <si>
    <t>Cash position + runway</t>
  </si>
  <si>
    <t>9.1.1</t>
  </si>
  <si>
    <t>Runway minimum 9 bulan</t>
  </si>
  <si>
    <t>Unit economics &amp; investor reporting</t>
  </si>
  <si>
    <t>Tracking payback per pack &amp; gross margin per kontrak</t>
  </si>
  <si>
    <t>Revenue swap, OPEX, depresiasi</t>
  </si>
  <si>
    <t>Dashboard unit economics</t>
  </si>
  <si>
    <t>5.1.1, 10.1.1</t>
  </si>
  <si>
    <t>Payback &lt; 36 bulan</t>
  </si>
  <si>
    <t>Reporting investor kuartalan</t>
  </si>
  <si>
    <t>Laporan keuangan, KPI</t>
  </si>
  <si>
    <t>Investor update</t>
  </si>
  <si>
    <t>9.2.1, 1.2.2</t>
  </si>
  <si>
    <t>Sesuai term sheet</t>
  </si>
  <si>
    <t>Memperoleh, Membangun, dan Mengelola Aset</t>
  </si>
  <si>
    <t>Manajemen aset baterai &amp; station</t>
  </si>
  <si>
    <t>Asset registry &amp; tracking (GPS, UID)</t>
  </si>
  <si>
    <t>UID, lokasi</t>
  </si>
  <si>
    <t>Asset register up-to-date</t>
  </si>
  <si>
    <t>Loss rate &lt; 0,5%</t>
  </si>
  <si>
    <t>Maintenance station &amp; ESS</t>
  </si>
  <si>
    <t>Jadwal preventif, alert VoltOS</t>
  </si>
  <si>
    <t>Station/ESS terawat</t>
  </si>
  <si>
    <t>Predictive maintenance</t>
  </si>
  <si>
    <t>Manajemen utilisasi &amp; depresiasi</t>
  </si>
  <si>
    <t>Monitoring utilisasi pack &amp; station</t>
  </si>
  <si>
    <t>Data swap, telemetri</t>
  </si>
  <si>
    <t>Laporan utilisasi</t>
  </si>
  <si>
    <t>Input ke unit economics</t>
  </si>
  <si>
    <t>Mengelola Risiko, Kepatuhan, dan Resiliensi</t>
  </si>
  <si>
    <t>Battery safety, K3, HSE</t>
  </si>
  <si>
    <t>Audit safety station &amp; gudang</t>
  </si>
  <si>
    <t>Checklist K3, regulasi</t>
  </si>
  <si>
    <t>Laporan audit + CAR</t>
  </si>
  <si>
    <t>Triwulan + sidak</t>
  </si>
  <si>
    <t>Drill kebakaran &amp; emergency response</t>
  </si>
  <si>
    <t>Skenario insiden</t>
  </si>
  <si>
    <t>Tim terlatih</t>
  </si>
  <si>
    <t>7.2.2</t>
  </si>
  <si>
    <t>Min 2x/tahun per site</t>
  </si>
  <si>
    <t>B3 waste &amp; manifest compliance</t>
  </si>
  <si>
    <t>Pack grade X, manifest</t>
  </si>
  <si>
    <t>Manifest valid 100%</t>
  </si>
  <si>
    <t>5.4.1</t>
  </si>
  <si>
    <t>Permen LHK</t>
  </si>
  <si>
    <t>Enterprise Risk &amp; BCP</t>
  </si>
  <si>
    <t>Risk register &amp; quarterly risk review</t>
  </si>
  <si>
    <t>Insiden, audit, scenario</t>
  </si>
  <si>
    <t>Risk register update</t>
  </si>
  <si>
    <t>Top 10 risk tracked</t>
  </si>
  <si>
    <t>BCP test (DR, gangguan listrik, supply chain)</t>
  </si>
  <si>
    <t>BCP plan</t>
  </si>
  <si>
    <t>Test report</t>
  </si>
  <si>
    <t>11.2.1</t>
  </si>
  <si>
    <t>1x/tahun min</t>
  </si>
  <si>
    <t>Mengelola Hubungan Eksternal</t>
  </si>
  <si>
    <t>Regulator, recycling partner, utility</t>
  </si>
  <si>
    <t>Pemeliharaan izin operasional (ESDM, LHK, Pemda)</t>
  </si>
  <si>
    <t>Regulasi, laporan</t>
  </si>
  <si>
    <t>Izin valid</t>
  </si>
  <si>
    <t>11.1.3</t>
  </si>
  <si>
    <t>Wajib aktif</t>
  </si>
  <si>
    <t>Pengelolaan kemitraan recycling &amp; utility</t>
  </si>
  <si>
    <t>MoU, jadwal audit</t>
  </si>
  <si>
    <t>Hubungan mitra aktif</t>
  </si>
  <si>
    <t>Minimal 3 mitra recycling</t>
  </si>
  <si>
    <t>Hubungan investor &amp; komunitas</t>
  </si>
  <si>
    <t>Board meeting &amp; ESG report</t>
  </si>
  <si>
    <t>Financial, ESG metric</t>
  </si>
  <si>
    <t>Board update + ESG disclosure</t>
  </si>
  <si>
    <t>9.2.2</t>
  </si>
  <si>
    <t>Tahap awal: GRI/SASB-light</t>
  </si>
  <si>
    <t>Mengembangkan dan Mengelola Kapabilitas Bisnis</t>
  </si>
  <si>
    <t>[Belum prioritas pada tahap start-up]</t>
  </si>
  <si>
    <t>Akan aktif saat scale-up (PMO, transformation office)</t>
  </si>
  <si>
    <t>Sheet ini memetakan keterkaitan input-output antara dua proses bisnis. Proses A membutuhkan output dari Proses B sebagai input. Mengacu pada kode hierarki di sheet T8 (Inti) dan T11 (Pendukung).</t>
  </si>
  <si>
    <t>Proses Bisnis (A)</t>
  </si>
  <si>
    <t>Proses Bisnis Relevan (B)</t>
  </si>
  <si>
    <t>Input dari B</t>
  </si>
  <si>
    <t>Output ke A</t>
  </si>
  <si>
    <t>Kode</t>
  </si>
  <si>
    <t>Nama Aktivitas A</t>
  </si>
  <si>
    <t>Nama Aktivitas B</t>
  </si>
  <si>
    <t>4.1.1</t>
  </si>
  <si>
    <t>3.2.2</t>
  </si>
  <si>
    <t>Closing kontrak BaaS dengan fleet</t>
  </si>
  <si>
    <t>Volume pack berdasarkan kontrak fleet yang akan aktif</t>
  </si>
  <si>
    <t>Pipeline kontrak terkalibrasi ke forecast</t>
  </si>
  <si>
    <t>Sourcing supplier &amp; PO cell baterai</t>
  </si>
  <si>
    <t>Jumlah PO yang harus diterbitkan</t>
  </si>
  <si>
    <t>4.2.1</t>
  </si>
  <si>
    <t>Assembly &amp; EOL test VoltBattery</t>
  </si>
  <si>
    <t>Sourcing &amp; penerimaan cell</t>
  </si>
  <si>
    <t>Cell + BMS lulus incoming QC</t>
  </si>
  <si>
    <t>Bahan baku siap dirakit</t>
  </si>
  <si>
    <t>Assembly &amp; EOL test</t>
  </si>
  <si>
    <t>Pack lulus QC + serial number</t>
  </si>
  <si>
    <t>Pack siap diberi UID &amp; paired ke VoltOS</t>
  </si>
  <si>
    <t>4.3.1</t>
  </si>
  <si>
    <t>Distribusi pack ke station</t>
  </si>
  <si>
    <t>Registrasi di VoltOS</t>
  </si>
  <si>
    <t>Pack terdaftar dgn status “Ready to Deploy”</t>
  </si>
  <si>
    <t>Inventory siap dialokasi ke station</t>
  </si>
  <si>
    <t>Transaksi swap rider</t>
  </si>
  <si>
    <t>Stok pack charged di station</t>
  </si>
  <si>
    <t>Locker terisi siap swap</t>
  </si>
  <si>
    <t>Battery grading &amp; routing</t>
  </si>
  <si>
    <t>Riwayat siklus, SoH per pack</t>
  </si>
  <si>
    <t>Data lengkap untuk grading</t>
  </si>
  <si>
    <t>Pack grade B/C diputuskan utk VoltGrid</t>
  </si>
  <si>
    <t>Pack tersedia untuk ESS deployment</t>
  </si>
  <si>
    <t>Pack grade X diputuskan utk recycle</t>
  </si>
  <si>
    <t>Material untuk manifest B3</t>
  </si>
  <si>
    <t>6.1.2</t>
  </si>
  <si>
    <t>Penyelesaian tiket rider</t>
  </si>
  <si>
    <t>Log transaksi &amp; telemetri pack</t>
  </si>
  <si>
    <t>Data audit untuk resolve tiket</t>
  </si>
  <si>
    <t>9.1.2</t>
  </si>
  <si>
    <t>Revenue swap harian</t>
  </si>
  <si>
    <t>Input AR &amp; cashflow</t>
  </si>
  <si>
    <t>9.2.1</t>
  </si>
  <si>
    <t>Tracking payback per pack</t>
  </si>
  <si>
    <t>10.2.1</t>
  </si>
  <si>
    <t>Monitoring utilisasi pack</t>
  </si>
  <si>
    <t>Utilisasi &amp; cycle count per pack</t>
  </si>
  <si>
    <t>Denominator unit economics</t>
  </si>
  <si>
    <t>Menyusun prioritas &amp; target strategis</t>
  </si>
  <si>
    <t>Merumuskan identitas &amp; nilai strategis</t>
  </si>
  <si>
    <t>Visi, misi, nilai inti, narasi brand</t>
  </si>
  <si>
    <t>Landasan penyusunan OKR</t>
  </si>
  <si>
    <t>1.2.2</t>
  </si>
  <si>
    <t>Pitch deck investor</t>
  </si>
  <si>
    <t>1.2.1</t>
  </si>
  <si>
    <t>Financial model &amp; unit economics</t>
  </si>
  <si>
    <t>Proyeksi 3 tahun, payback per pack</t>
  </si>
  <si>
    <t>Narrative ke investor</t>
  </si>
  <si>
    <t>Rekrutmen battery engineer &amp; data scientist</t>
  </si>
  <si>
    <t>Identifikasi kebutuhan SDM</t>
  </si>
  <si>
    <t>Manpower plan + skill gap</t>
  </si>
  <si>
    <t>Pipeline kandidat</t>
  </si>
  <si>
    <t>Onboarding + training K3</t>
  </si>
  <si>
    <t>Audit safety station</t>
  </si>
  <si>
    <t>Standar K3 baterai terbaru</t>
  </si>
  <si>
    <t>Materi training karyawan baru</t>
  </si>
  <si>
    <t>12.1.1</t>
  </si>
  <si>
    <t>Pemeliharaan izin operasional</t>
  </si>
  <si>
    <t>Bukti kepatuhan B3</t>
  </si>
  <si>
    <t>Dokumen pendukung perpanjangan izin</t>
  </si>
  <si>
    <t>12.2.1</t>
  </si>
  <si>
    <t>Unit economics dashboard</t>
  </si>
  <si>
    <t>Materi update kinerja ke board</t>
  </si>
  <si>
    <t>STRUKTUR ORGANISASI — AXION / VOLTLOOP (Skenario Start-up)</t>
  </si>
  <si>
    <t>Tipe Struktur Organisasi:</t>
  </si>
  <si>
    <t>Fungsional (Functional)</t>
  </si>
  <si>
    <t>Alasan Pemilihan:</t>
  </si>
  <si>
    <t>Pada tahap start-up early, struktur fungsional dipilih agar setiap fungsi inti (Produk, Operasi, Teknologi, Komersial, Keuangan) memiliki ekspertise mendalam dan jalur pelaporan jelas. Saat scale-up nanti, struktur dapat berevolusi ke matrix atau divisional per region/produk.</t>
  </si>
  <si>
    <t>BAGAN STRUKTUR ORGANISASI</t>
  </si>
  <si>
    <t>BOARD OF DIRECTORS</t>
  </si>
  <si>
    <t>│</t>
  </si>
  <si>
    <t>CEO / FOUNDER</t>
  </si>
  <si>
    <t>COO
(Chief Operating Officer)</t>
  </si>
  <si>
    <t>CTO
(Chief Technology Officer)</t>
  </si>
  <si>
    <t>CCO
(Chief Commercial Officer)</t>
  </si>
  <si>
    <t>CFO
(Chief Financial Officer)</t>
  </si>
  <si>
    <t>Head of People &amp; Risk</t>
  </si>
  <si>
    <t>Dept. Battery Production &amp; Supply Chain</t>
  </si>
  <si>
    <t>Dept. VoltOS Engineering &amp; Data</t>
  </si>
  <si>
    <t>Dept. Sales &amp; Partnerships</t>
  </si>
  <si>
    <t>Dept. Finance &amp; Treasury</t>
  </si>
  <si>
    <t>Dept. HR &amp; HSE/Compliance</t>
  </si>
  <si>
    <t>Dept. Network Operations (Swap Station &amp; VoltGrid)</t>
  </si>
  <si>
    <t>Dept. Platform &amp; Cybersecurity</t>
  </si>
  <si>
    <t>Dept. Marketing &amp; Customer Experience</t>
  </si>
  <si>
    <t>Dept. FP&amp;A &amp; Accounting</t>
  </si>
  <si>
    <t>Dept. External Affairs</t>
  </si>
  <si>
    <t>RINCIAN DIVISI DI BAWAH DEPARTEMEN</t>
  </si>
  <si>
    <t>Departemen</t>
  </si>
  <si>
    <t>Divisi</t>
  </si>
  <si>
    <t>Tanggung Jawab Utama</t>
  </si>
  <si>
    <t>Battery Production &amp; Supply Chain</t>
  </si>
  <si>
    <t>Procurement</t>
  </si>
  <si>
    <t>Sourcing cell, BMS, komponen; vendor management</t>
  </si>
  <si>
    <t>Assembly &amp; QA Lab</t>
  </si>
  <si>
    <t>Assembly pack, incoming/EOL test, sertifikasi</t>
  </si>
  <si>
    <t>Logistics &amp; Reverse Logistics</t>
  </si>
  <si>
    <t>Distribusi pack, penarikan pack EOL</t>
  </si>
  <si>
    <t>Network Operations</t>
  </si>
  <si>
    <t>Swap Network Operations</t>
  </si>
  <si>
    <t>Operasional harian swap station, monitoring lapangan</t>
  </si>
  <si>
    <t>VoltGrid (ESS) Operations</t>
  </si>
  <si>
    <t>Instalasi, commissioning, O&amp;M ESS</t>
  </si>
  <si>
    <t>Asset Management</t>
  </si>
  <si>
    <t>Registry, depresiasi, utilisasi, maintenance</t>
  </si>
  <si>
    <t>VoltOS Engineering &amp; Data</t>
  </si>
  <si>
    <t>Software Engineering</t>
  </si>
  <si>
    <t>Build &amp; rilis modul VoltOS</t>
  </si>
  <si>
    <t>Data Science &amp; Battery Intelligence</t>
  </si>
  <si>
    <t>Algoritma grading, predictive maintenance</t>
  </si>
  <si>
    <t>IoT &amp; Embedded</t>
  </si>
  <si>
    <t>BMS firmware, IoT gateway</t>
  </si>
  <si>
    <t>Platform &amp; Cybersecurity</t>
  </si>
  <si>
    <t>SRE &amp; Cloud</t>
  </si>
  <si>
    <t>Cloud infra, uptime, incident response</t>
  </si>
  <si>
    <t>Cybersecurity &amp; Data Governance</t>
  </si>
  <si>
    <t>IAM, security, ISO 27001 readiness, UU PDP</t>
  </si>
  <si>
    <t>Sales &amp; Partnerships</t>
  </si>
  <si>
    <t>B2B Fleet Sales</t>
  </si>
  <si>
    <t>Akuisisi &amp; retention kontrak fleet BaaS</t>
  </si>
  <si>
    <t>VoltGrid (ESS) Sales</t>
  </si>
  <si>
    <t>Penjualan ESS ke komersial, telco, utility</t>
  </si>
  <si>
    <t>Strategic Partnerships</t>
  </si>
  <si>
    <t>OEM motor listrik, recycling, utility, Pemda</t>
  </si>
  <si>
    <t>Marketing &amp; Customer Experience</t>
  </si>
  <si>
    <t>Growth Marketing</t>
  </si>
  <si>
    <t>Akuisisi rider B2C, campaign, brand</t>
  </si>
  <si>
    <t>Customer Service &amp; Success</t>
  </si>
  <si>
    <t>Tiket rider &amp; fleet, QBR, retention</t>
  </si>
  <si>
    <t>Finance &amp; Treasury</t>
  </si>
  <si>
    <t>Treasury &amp; Funding</t>
  </si>
  <si>
    <t>Kas, fundraising, hubungan investor</t>
  </si>
  <si>
    <t>FP&amp;A &amp; Accounting</t>
  </si>
  <si>
    <t>FP&amp;A</t>
  </si>
  <si>
    <t>Budgeting, unit economics, forecast</t>
  </si>
  <si>
    <t>Accounting &amp; Tax</t>
  </si>
  <si>
    <t>Closing, audit, pajak</t>
  </si>
  <si>
    <t>HR &amp; HSE/Compliance</t>
  </si>
  <si>
    <t>People (HR)</t>
  </si>
  <si>
    <t>Hiring, onboarding, performance, ESOP</t>
  </si>
  <si>
    <t>HSE &amp; Safety</t>
  </si>
  <si>
    <t>K3 baterai, drill kebakaran, audit safety</t>
  </si>
  <si>
    <t>Risk &amp; Compliance</t>
  </si>
  <si>
    <t>Risk register, BCP, B3 compliance</t>
  </si>
  <si>
    <t>External Affairs</t>
  </si>
  <si>
    <t>Regulatory &amp; Government Relations</t>
  </si>
  <si>
    <t>Izin operasional, Pemda, Pemerintah Pusat</t>
  </si>
  <si>
    <t>ESG &amp; Communications</t>
  </si>
  <si>
    <t>ESG report, komunikasi publik, mitra recycling</t>
  </si>
  <si>
    <t>RESPONSIBILITY ASSIGNMENT MATRIX (RAM) — AXION / VOLTLOOP (Skenario Start-up)</t>
  </si>
  <si>
    <t>R = Responsible (mengerjakan)  |  A = Accountable (penanggung jawab akhir)  |  C = Consulted  |  I = Informed</t>
  </si>
  <si>
    <t>Proses Bisnis (L1)</t>
  </si>
  <si>
    <t>Direktur Utama (CEO)</t>
  </si>
  <si>
    <t>HR &amp; HSE / Compliance</t>
  </si>
  <si>
    <t>CEO</t>
  </si>
  <si>
    <t>Kepala Dept</t>
  </si>
  <si>
    <t>Mengembangkan Visi, Misi, dan Strategi</t>
  </si>
  <si>
    <t>A/R</t>
  </si>
  <si>
    <t>C</t>
  </si>
  <si>
    <t>I</t>
  </si>
  <si>
    <t>Mengembangkan &amp; Mengelola Produk</t>
  </si>
  <si>
    <t>A</t>
  </si>
  <si>
    <t>R</t>
  </si>
  <si>
    <t>Memasarkan &amp; Menjual Produk</t>
  </si>
  <si>
    <t>Mengelola Rantai Pasok Produk Fisik</t>
  </si>
  <si>
    <t>Memberikan Layanan (Swap, VoltOS, ESS)</t>
  </si>
  <si>
    <t>Mengembangkan &amp; Mengelola SDM</t>
  </si>
  <si>
    <t>Memperoleh, Membangun &amp; Mengelola Aset</t>
  </si>
  <si>
    <t>Mengelola Risiko, Kepatuhan &amp; Resiliensi</t>
  </si>
  <si>
    <t>5. APQC LEVEL 4 ACTIVITY BREAKDOWN — 6 PROSES TERPILIH</t>
  </si>
  <si>
    <t>3 Core: Battery Testing &amp; Registration | Rider Swap Transaction | Battery Grading &amp; Routing  |  2 Support: Procurement | VoltOS Reliability  |  1 Governance: Battery Safety &amp; B3 Compliance</t>
  </si>
  <si>
    <t>Proses Lv3</t>
  </si>
  <si>
    <t>#</t>
  </si>
  <si>
    <t>Aktivitas Level 4</t>
  </si>
  <si>
    <t>Aktor Penanggung Jawab</t>
  </si>
  <si>
    <t>Dokumen/Data Dibutuhkan</t>
  </si>
  <si>
    <t>Sistem/Tools</t>
  </si>
  <si>
    <t>Output Aktivitas</t>
  </si>
  <si>
    <t>Kontrol Kualitas</t>
  </si>
  <si>
    <t>CORE — 4.2.1/4.2.2 Battery Testing &amp; VoltOS Registration</t>
  </si>
  <si>
    <t>Terima batch cell dari supplier &amp; cocokkan dengan PO</t>
  </si>
  <si>
    <t>Warehouse Officer</t>
  </si>
  <si>
    <t>Packing list, PO</t>
  </si>
  <si>
    <t>WMS, barcode scanner</t>
  </si>
  <si>
    <t>Batch diterima &amp; terdokumentasi</t>
  </si>
  <si>
    <t>3-way match (PO, DO, fisik)</t>
  </si>
  <si>
    <t>Sampling visual &amp; dimensi cell</t>
  </si>
  <si>
    <t>QC Inspector</t>
  </si>
  <si>
    <t>Spec drawing</t>
  </si>
  <si>
    <t>Caliper, checklist</t>
  </si>
  <si>
    <t>Sample lulus visual</t>
  </si>
  <si>
    <t>AQL sampling plan</t>
  </si>
  <si>
    <t>Capacity &amp; internal resistance test</t>
  </si>
  <si>
    <t>QA Lab Engineer</t>
  </si>
  <si>
    <t>Protokol test</t>
  </si>
  <si>
    <t>Battery cycler, IR meter</t>
  </si>
  <si>
    <t>Hasil test per cell</t>
  </si>
  <si>
    <t>Reject cell di luar 3% nominal</t>
  </si>
  <si>
    <t>Assembly pack VoltBattery (cell + BMS + casing)</t>
  </si>
  <si>
    <t>Production Operator</t>
  </si>
  <si>
    <t>Work instruction</t>
  </si>
  <si>
    <t>Jig assembly, torque wrench</t>
  </si>
  <si>
    <t>Pack rakitan</t>
  </si>
  <si>
    <t>Torque &amp; isolation check tiap unit</t>
  </si>
  <si>
    <t>End-of-line test (charge, discharge, BMS comm)</t>
  </si>
  <si>
    <t>QA Engineer</t>
  </si>
  <si>
    <t>EOL test sheet</t>
  </si>
  <si>
    <t>EOL tester</t>
  </si>
  <si>
    <t>Pack lulus QC + sertifikat</t>
  </si>
  <si>
    <t>100% test, signed by QA</t>
  </si>
  <si>
    <t>Generate UID &amp; registrasi ke VoltOS</t>
  </si>
  <si>
    <t>VoltOS Engineer</t>
  </si>
  <si>
    <t>Asset registry</t>
  </si>
  <si>
    <t>VoltOS API, NFC writer</t>
  </si>
  <si>
    <t>Pack terdaftar dengan UID unik</t>
  </si>
  <si>
    <t>Validasi unique UID + pairing BMS</t>
  </si>
  <si>
    <t>Status “Ready to Deploy” &amp; masuk gudang</t>
  </si>
  <si>
    <t>Warehouse + VoltOS</t>
  </si>
  <si>
    <t>WMS record</t>
  </si>
  <si>
    <t>WMS, VoltOS</t>
  </si>
  <si>
    <t>Stok siap deploy</t>
  </si>
  <si>
    <t>Status sinkron antar sistem</t>
  </si>
  <si>
    <t>CORE — 5.1.1 Rider Battery Swap Transaction</t>
  </si>
  <si>
    <t>Rider tap NFC / scan QR di stasiun</t>
  </si>
  <si>
    <t>Rider</t>
  </si>
  <si>
    <t>Akun aktif</t>
  </si>
  <si>
    <t>Swap kiosk, App</t>
  </si>
  <si>
    <t>Sesi autentikasi</t>
  </si>
  <si>
    <t>Validasi saldo + status akun</t>
  </si>
  <si>
    <t>VoltOS pilih locker dgn baterai SoC tertinggi</t>
  </si>
  <si>
    <t>VoltOS</t>
  </si>
  <si>
    <t>Inventory locker</t>
  </si>
  <si>
    <t>VoltOS allocation</t>
  </si>
  <si>
    <t>Locker terpilih</t>
  </si>
  <si>
    <t>Hanya locker dgn SoC &gt; 90% dipilih</t>
  </si>
  <si>
    <t>Rider taruh baterai kosong di locker yg ditunjuk</t>
  </si>
  <si>
    <t>Swap kiosk</t>
  </si>
  <si>
    <t>Baterai kosong tersimpan</t>
  </si>
  <si>
    <t>Sensor berat &amp; UID match</t>
  </si>
  <si>
    <t>VoltOS unlock locker baterai full</t>
  </si>
  <si>
    <t>Token sesi</t>
  </si>
  <si>
    <t>Locker actuator</t>
  </si>
  <si>
    <t>Locker terbuka</t>
  </si>
  <si>
    <t>Timeout &amp; retry handler</t>
  </si>
  <si>
    <t>Rider ambil baterai full &amp; pasang di motor</t>
  </si>
  <si>
    <t>Swap fisik selesai</t>
  </si>
  <si>
    <t>Konfirmasi pairing baterai-motor</t>
  </si>
  <si>
    <t>Bill ke akun &amp; catat di VoltOS</t>
  </si>
  <si>
    <t>VoltOS Billing</t>
  </si>
  <si>
    <t>Tariff plan</t>
  </si>
  <si>
    <t>Payment gateway</t>
  </si>
  <si>
    <t>Transaksi tercatat</t>
  </si>
  <si>
    <t>Reconcile harian</t>
  </si>
  <si>
    <t>Mulai siklus charging baterai kosong di locker</t>
  </si>
  <si>
    <t>Station</t>
  </si>
  <si>
    <t>Charging profile</t>
  </si>
  <si>
    <t>BMS, charger</t>
  </si>
  <si>
    <t>Baterai naik SoC</t>
  </si>
  <si>
    <t>Termal &amp; abnormal monitor</t>
  </si>
  <si>
    <t>CORE — 5.2.2 Battery Grading &amp; Lifecycle Routing</t>
  </si>
  <si>
    <t>Agregasi data siklus &amp; SoH per pack</t>
  </si>
  <si>
    <t>VoltOS Data Eng</t>
  </si>
  <si>
    <t>History telemetri</t>
  </si>
  <si>
    <t>Data lake, BI</t>
  </si>
  <si>
    <t>Profil baterai per UID</t>
  </si>
  <si>
    <t>Data completeness &gt; 98%</t>
  </si>
  <si>
    <t>Jalankan algoritma grading (A/B/C/X)</t>
  </si>
  <si>
    <t>VoltOS Algorithm</t>
  </si>
  <si>
    <t>Model grading</t>
  </si>
  <si>
    <t>ML pipeline</t>
  </si>
  <si>
    <t>Grade tentatif</t>
  </si>
  <si>
    <t>Confidence threshold + audit sample</t>
  </si>
  <si>
    <t>Review manual QA untuk grade borderline</t>
  </si>
  <si>
    <t>Laporan grading</t>
  </si>
  <si>
    <t>VoltOS QA module</t>
  </si>
  <si>
    <t>Grade final</t>
  </si>
  <si>
    <t>4-eyes principle</t>
  </si>
  <si>
    <t>Tentukan jalur lanjut (continue 1st life / VoltGrid / recycle)</t>
  </si>
  <si>
    <t>COO + VoltGrid Head</t>
  </si>
  <si>
    <t>Kapasitas ESS demand</t>
  </si>
  <si>
    <t>VoltOS routing</t>
  </si>
  <si>
    <t>Routing decision</t>
  </si>
  <si>
    <t>Approval sign-off</t>
  </si>
  <si>
    <t>Buat work order pemindahan asset</t>
  </si>
  <si>
    <t>Logistics</t>
  </si>
  <si>
    <t>WO</t>
  </si>
  <si>
    <t>WMS</t>
  </si>
  <si>
    <t>WO terbit</t>
  </si>
  <si>
    <t>Chain-of-custody log</t>
  </si>
  <si>
    <t>Update asset registry &amp; status di VoltOS</t>
  </si>
  <si>
    <t>Asset Manager</t>
  </si>
  <si>
    <t>Status baru tercatat</t>
  </si>
  <si>
    <t>Audit trail tertulis</t>
  </si>
  <si>
    <t>SUPPORT — 4.1.1 Battery Procurement &amp; Vendor Management</t>
  </si>
  <si>
    <t>Forecast demand baterai per kuartal</t>
  </si>
  <si>
    <t>FP&amp;A + Ops</t>
  </si>
  <si>
    <t>Sales pipeline, churn rate</t>
  </si>
  <si>
    <t>ERP, BI</t>
  </si>
  <si>
    <t>Demand forecast</t>
  </si>
  <si>
    <t>Review forecast vs actual bulanan</t>
  </si>
  <si>
    <t>Update Approved Vendor List</t>
  </si>
  <si>
    <t>Procurement, QA</t>
  </si>
  <si>
    <t>Audit supplier, sample test</t>
  </si>
  <si>
    <t>Vendor portal</t>
  </si>
  <si>
    <t>AVL terbaru</t>
  </si>
  <si>
    <t>Re-audit tahunan</t>
  </si>
  <si>
    <t>Terbitkan RFQ ke 3+ supplier</t>
  </si>
  <si>
    <t>Spec teknis, volume</t>
  </si>
  <si>
    <t>e-Procurement</t>
  </si>
  <si>
    <t>Quote masuk</t>
  </si>
  <si>
    <t>Minimal 3 quote</t>
  </si>
  <si>
    <t>Evaluasi teknis &amp; komersial</t>
  </si>
  <si>
    <t>Procurement + CTO</t>
  </si>
  <si>
    <t>Scoring matrix</t>
  </si>
  <si>
    <t>Spreadsheet</t>
  </si>
  <si>
    <t>Vendor terpilih</t>
  </si>
  <si>
    <t>Dual sign-off</t>
  </si>
  <si>
    <t>Negosiasi &amp; terbitkan PO</t>
  </si>
  <si>
    <t>Procurement, Legal</t>
  </si>
  <si>
    <t>Draft kontrak</t>
  </si>
  <si>
    <t>ERP</t>
  </si>
  <si>
    <t>PO terbit</t>
  </si>
  <si>
    <t>PO sesuai anggaran (CFO approval)</t>
  </si>
  <si>
    <t>Monitoring pengiriman &amp; QC incoming</t>
  </si>
  <si>
    <t>Procurement + QA</t>
  </si>
  <si>
    <t>Tracking, packing list</t>
  </si>
  <si>
    <t>Cell diterima</t>
  </si>
  <si>
    <t>OTD tracking + defect rate</t>
  </si>
  <si>
    <t>SUPPORT — 8.1.1 VoltOS Reliability Engineering</t>
  </si>
  <si>
    <t>Setup observability (metric, log, trace)</t>
  </si>
  <si>
    <t>SRE</t>
  </si>
  <si>
    <t>Runbook</t>
  </si>
  <si>
    <t>Prometheus, Grafana, ELK</t>
  </si>
  <si>
    <t>Dashboard SRE</t>
  </si>
  <si>
    <t>SLO defined per service</t>
  </si>
  <si>
    <t>On-call rotation &amp; paging</t>
  </si>
  <si>
    <t>SRE Team</t>
  </si>
  <si>
    <t>Schedule</t>
  </si>
  <si>
    <t>PagerDuty/OpsGenie</t>
  </si>
  <si>
    <t>Engineer standby 24/7</t>
  </si>
  <si>
    <t>Ack &lt; 5 menit</t>
  </si>
  <si>
    <t>Incident response saat alert</t>
  </si>
  <si>
    <t>On-call SRE</t>
  </si>
  <si>
    <t>Incident channel</t>
  </si>
  <si>
    <t>Mitigasi</t>
  </si>
  <si>
    <t>MTTR &lt; 30 menit untuk SEV-1</t>
  </si>
  <si>
    <t>Root cause analysis &amp; post-mortem</t>
  </si>
  <si>
    <t>SRE + Eng</t>
  </si>
  <si>
    <t>Logs, timeline</t>
  </si>
  <si>
    <t>Wiki</t>
  </si>
  <si>
    <t>RCA doc</t>
  </si>
  <si>
    <t>Blameless template + action item tracker</t>
  </si>
  <si>
    <t>Capacity planning &amp; chaos drill</t>
  </si>
  <si>
    <t>SRE + Platform Lead</t>
  </si>
  <si>
    <t>Forecast load</t>
  </si>
  <si>
    <t>k6, ChaosMonkey</t>
  </si>
  <si>
    <t>Sistem resilient</t>
  </si>
  <si>
    <t>Drill kuartalan</t>
  </si>
  <si>
    <t>GOVERNANCE — 11.1.1 Battery Safety &amp; B3 Waste Compliance</t>
  </si>
  <si>
    <t>Pemetaan regulasi (Permen LHK, K3, SNI baterai)</t>
  </si>
  <si>
    <t>Compliance Officer</t>
  </si>
  <si>
    <t>Database regulasi</t>
  </si>
  <si>
    <t>GRC tool / spreadsheet</t>
  </si>
  <si>
    <t>Daftar regulasi berlaku</t>
  </si>
  <si>
    <t>Update kuartalan</t>
  </si>
  <si>
    <t>Audit safety swap station &amp; gudang</t>
  </si>
  <si>
    <t>HSE Auditor</t>
  </si>
  <si>
    <t>Checklist K3</t>
  </si>
  <si>
    <t>Audit app</t>
  </si>
  <si>
    <t>Laporan temuan</t>
  </si>
  <si>
    <t>Audit terjadwal + sidak</t>
  </si>
  <si>
    <t>Corrective action atas temuan</t>
  </si>
  <si>
    <t>Site Manager</t>
  </si>
  <si>
    <t>CAR log</t>
  </si>
  <si>
    <t>GRC tool</t>
  </si>
  <si>
    <t>CAR closed</t>
  </si>
  <si>
    <t>Verifikasi penutupan oleh auditor</t>
  </si>
  <si>
    <t>Manifest B3 untuk baterai EOL</t>
  </si>
  <si>
    <t>Compliance + Logistics</t>
  </si>
  <si>
    <t>Manifest LHK, izin pengangkut</t>
  </si>
  <si>
    <t>Sistem manifest LHK</t>
  </si>
  <si>
    <t>Manifest tervalidasi</t>
  </si>
  <si>
    <t>Tanda tangan pihak ke-3 wajib</t>
  </si>
  <si>
    <t>HSE</t>
  </si>
  <si>
    <t>Skenario</t>
  </si>
  <si>
    <t>Lapor ke regulator &amp; investor (ESG)</t>
  </si>
  <si>
    <t>External Affairs + CFO</t>
  </si>
  <si>
    <t>Data kepatuhan</t>
  </si>
  <si>
    <t>Reporting tool</t>
  </si>
  <si>
    <t>Laporan terkirim</t>
  </si>
  <si>
    <t>Sign-off CEO sebelum submit</t>
  </si>
  <si>
    <t>6. END-TO-END BUSINESS PROCESS FLOW</t>
  </si>
  <si>
    <t>Alur (Cycle)</t>
  </si>
  <si>
    <t>Process (langkah utama)</t>
  </si>
  <si>
    <t>Customer Value</t>
  </si>
  <si>
    <t>Lead-to-Cash (B2B Fleet)</t>
  </si>
  <si>
    <t>Lead fleet operator</t>
  </si>
  <si>
    <t>Qualify → Demo → Pilot 30 hari → Negosiasi SLA → Kontrak BaaS → Deploy baterai → Billing bulanan → Renewal</t>
  </si>
  <si>
    <t>Kontrak BaaS aktif &amp; cash in</t>
  </si>
  <si>
    <t>Fleet beroperasi tanpa downtime, OPEX prediktabel</t>
  </si>
  <si>
    <t>Procure-to-Pay (Cell Battery)</t>
  </si>
  <si>
    <t>RFQ → Evaluasi → PO → Receive → QC → 3-way match → Invoice → Pembayaran supplier</t>
  </si>
  <si>
    <t>Cell baterai lulus QC + AP lunas</t>
  </si>
  <si>
    <t>Supplier puas, supply chain stabil</t>
  </si>
  <si>
    <t>Order-to-Delivery (Rider Swap)</t>
  </si>
  <si>
    <t>Rider request swap</t>
  </si>
  <si>
    <t>Autentikasi → Locker assignment → Swap fisik → Billing → Recharge baterai kosong</t>
  </si>
  <si>
    <t>Successful swap &lt; 2 menit</t>
  </si>
  <si>
    <t>Rider lanjut beroperasi tanpa antri charge</t>
  </si>
  <si>
    <t>Concept-to-Launch (VoltOS Feature)</t>
  </si>
  <si>
    <t>Insight fleet/data</t>
  </si>
  <si>
    <t>Discovery → Spec → Design → Build → QA → Beta → Rilis → Adopsi</t>
  </si>
  <si>
    <t>Fitur VoltOS rilis</t>
  </si>
  <si>
    <t>Customer (fleet) dapat insight &amp; kontrol lebih baik</t>
  </si>
  <si>
    <t>Issue-to-Resolution (Rider/Fleet)</t>
  </si>
  <si>
    <t>Tiket / alert insiden</t>
  </si>
  <si>
    <t>Receive → Triage → Diagnose → Resolve / Escalate → Close → Survey</t>
  </si>
  <si>
    <t>Tiket closed &amp; CSAT</t>
  </si>
  <si>
    <t>Customer merasa didukung, churn turun</t>
  </si>
  <si>
    <t>Hire-to-Retire (Battery Engineer)</t>
  </si>
  <si>
    <t>Manpower plan</t>
  </si>
  <si>
    <t>Sourcing → Seleksi → Hire → Onboarding → Training K3 → Performance review → Career path / exit</t>
  </si>
  <si>
    <t>Talenta produktif</t>
  </si>
  <si>
    <t>Engineer kompeten = produk handal</t>
  </si>
  <si>
    <t>Record-to-Report</t>
  </si>
  <si>
    <t>Transaksi harian</t>
  </si>
  <si>
    <t>Capture → Klasifikasi → Rekonsiliasi → Closing bulanan → Laporan keuangan &amp; investor</t>
  </si>
  <si>
    <t>Laporan keuangan akurat</t>
  </si>
  <si>
    <t>Investor &amp; manajemen punya keputusan berbasis data</t>
  </si>
  <si>
    <t>Risk-to-Mitigation</t>
  </si>
  <si>
    <t>Risk register / kejadian</t>
  </si>
  <si>
    <t>Identifikasi → Asesmen → Treatment plan → Implementasi kontrol → Monitoring → Review</t>
  </si>
  <si>
    <t>Residual risk acceptable</t>
  </si>
  <si>
    <t>Operasi aman &amp; compliant</t>
  </si>
  <si>
    <t>Battery Lifecycle (UNIK — VOLTLOOP)</t>
  </si>
  <si>
    <t>Cell baterai baru</t>
  </si>
  <si>
    <t>Procurement → Testing → VoltOS Registration → Fleet Deployment → VoltSwap Operation → VoltOS Monitoring → Grading → Routing (1st life / VoltGrid / Recycling)</t>
  </si>
  <si>
    <t>Baterai menghasilkan revenue 2x umur normal</t>
  </si>
  <si>
    <t>Customer + planet diuntungkan (sirkular)</t>
  </si>
  <si>
    <t>9. KPI &amp; PERFORMANCE MEASUREMENT — VOLTLOOP</t>
  </si>
  <si>
    <t>Kategori</t>
  </si>
  <si>
    <t>Proses</t>
  </si>
  <si>
    <t>KPI</t>
  </si>
  <si>
    <t>Definisi KPI</t>
  </si>
  <si>
    <t>Formula</t>
  </si>
  <si>
    <t>Target Awal</t>
  </si>
  <si>
    <t>Frekuensi</t>
  </si>
  <si>
    <t>PIC</t>
  </si>
  <si>
    <t>Operational Efficiency</t>
  </si>
  <si>
    <t>VoltSwap Operation</t>
  </si>
  <si>
    <t>Swap Success Rate</t>
  </si>
  <si>
    <t>% transaksi swap selesai sukses</t>
  </si>
  <si>
    <t>(Swap sukses / total attempt) × 100%</t>
  </si>
  <si>
    <t>&gt;= 99%</t>
  </si>
  <si>
    <t>Harian</t>
  </si>
  <si>
    <t>Head of Operations</t>
  </si>
  <si>
    <t>Average Swap Time</t>
  </si>
  <si>
    <t>Waktu rata-rata per transaksi</t>
  </si>
  <si>
    <t>Avg(end-time − start-time)</t>
  </si>
  <si>
    <t>&lt;= 120 detik</t>
  </si>
  <si>
    <t>Distribution</t>
  </si>
  <si>
    <t>Station Fill-Rate</t>
  </si>
  <si>
    <t>% station memiliki baterai charged tersedia</t>
  </si>
  <si>
    <t>Station-hour dgn stok ≥ 1 / total station-hour</t>
  </si>
  <si>
    <t>&gt;= 95%</t>
  </si>
  <si>
    <t>Head of Logistics</t>
  </si>
  <si>
    <t>Cost Efficiency</t>
  </si>
  <si>
    <t>Cost per kWh</t>
  </si>
  <si>
    <t>Biaya cell + assembly per kWh</t>
  </si>
  <si>
    <t>Total cost / total kWh diproduksi</t>
  </si>
  <si>
    <t>Turun 10% YoY</t>
  </si>
  <si>
    <t>Bulanan</t>
  </si>
  <si>
    <t>COO + CFO</t>
  </si>
  <si>
    <t>Unit Economics</t>
  </si>
  <si>
    <t>Payback Period per Battery Pack</t>
  </si>
  <si>
    <t>Berapa lama hingga 1 pack break-even</t>
  </si>
  <si>
    <t>CAPEX pack / (revenue − OPEX per bulan)</t>
  </si>
  <si>
    <t>&lt;= 36 bulan</t>
  </si>
  <si>
    <t>Bulanan (per cohort)</t>
  </si>
  <si>
    <t>CFO + FP&amp;A</t>
  </si>
  <si>
    <t>Customer Satisfaction</t>
  </si>
  <si>
    <t>Customer Service</t>
  </si>
  <si>
    <t>NPS</t>
  </si>
  <si>
    <t>Net Promoter Score rider &amp; fleet</t>
  </si>
  <si>
    <t>% promoter − % detractor</t>
  </si>
  <si>
    <t>&gt;= 40</t>
  </si>
  <si>
    <t>Triwulan</t>
  </si>
  <si>
    <t>Head of CS</t>
  </si>
  <si>
    <t>First Response Time (FRT)</t>
  </si>
  <si>
    <t>Waktu rata-rata respon pertama</t>
  </si>
  <si>
    <t>Avg(first reply − ticket open)</t>
  </si>
  <si>
    <t>&lt;= 5 menit</t>
  </si>
  <si>
    <t>Revenue Growth</t>
  </si>
  <si>
    <t>Sales B2B &amp; B2C</t>
  </si>
  <si>
    <t>ARR (Annual Recurring Revenue)</t>
  </si>
  <si>
    <t>Total kontrak subscription tahunan</t>
  </si>
  <si>
    <t>Sum(MRR aktif) × 12</t>
  </si>
  <si>
    <t>Target per fundraising stage</t>
  </si>
  <si>
    <t>CEO + CFO</t>
  </si>
  <si>
    <t>Sales B2B</t>
  </si>
  <si>
    <t>Jumlah baterai aktif di fleet</t>
  </si>
  <si>
    <t>Active pack di kontrak BaaS</t>
  </si>
  <si>
    <t>Count(active pack)</t>
  </si>
  <si>
    <t>Tumbuh 20% QoQ [Asumsi]</t>
  </si>
  <si>
    <t>Head of B2B Sales</t>
  </si>
  <si>
    <t>Product Reliability</t>
  </si>
  <si>
    <t>Battery Lifecycle</t>
  </si>
  <si>
    <t>Cycle Life Achieved</t>
  </si>
  <si>
    <t>Rata-rata siklus pack sebelum SoH &lt; 80%</t>
  </si>
  <si>
    <t>Avg(siklus → SoH 80%)</t>
  </si>
  <si>
    <t>&gt;= 2000 cycles</t>
  </si>
  <si>
    <t>CTO + QA</t>
  </si>
  <si>
    <t>Quality</t>
  </si>
  <si>
    <t>Field Defect Rate</t>
  </si>
  <si>
    <t>% pack gagal di lapangan</t>
  </si>
  <si>
    <t>Failed pack / deployed pack</t>
  </si>
  <si>
    <t>&lt;= 0.5% per tahun</t>
  </si>
  <si>
    <t>QA + COO</t>
  </si>
  <si>
    <t>Safety Incident (Thermal/Fire)</t>
  </si>
  <si>
    <t>Jumlah insiden kebakaran/thermal runaway</t>
  </si>
  <si>
    <t>Count(insiden) per bulan</t>
  </si>
  <si>
    <t>0 insiden</t>
  </si>
  <si>
    <t>Head of HSE</t>
  </si>
  <si>
    <t>B3 Waste</t>
  </si>
  <si>
    <t>Manifest Compliance Rate</t>
  </si>
  <si>
    <t>% baterai EOL dgn manifest B3 lengkap</t>
  </si>
  <si>
    <t>Manifest valid / total EOL pack</t>
  </si>
  <si>
    <t>Technology Performance</t>
  </si>
  <si>
    <t>VoltOS Platform</t>
  </si>
  <si>
    <t>Platform Uptime</t>
  </si>
  <si>
    <t>% waktu VoltOS available</t>
  </si>
  <si>
    <t>Uptime / total time</t>
  </si>
  <si>
    <t>&gt;= 99.9%</t>
  </si>
  <si>
    <t>CTO / SRE</t>
  </si>
  <si>
    <t>VoltOS Monitoring</t>
  </si>
  <si>
    <t>Grading Accuracy</t>
  </si>
  <si>
    <t>Akurasi algoritma grading vs lab</t>
  </si>
  <si>
    <t>Correct grade / total sample</t>
  </si>
  <si>
    <t>VoltOS Data Lead</t>
  </si>
  <si>
    <t>Lifecycle / Sustainability</t>
  </si>
  <si>
    <t>Second-Life Conversion Rate</t>
  </si>
  <si>
    <t>% pack 1st-life yang lanjut ke VoltGrid</t>
  </si>
  <si>
    <t>Pack masuk VoltGrid / pack pensiun 1st life</t>
  </si>
  <si>
    <t>&gt;= 60%</t>
  </si>
  <si>
    <t>Head of VoltGrid</t>
  </si>
  <si>
    <t>10. RISK &amp; CONTROL POINT</t>
  </si>
  <si>
    <t>Risiko</t>
  </si>
  <si>
    <t>Penyebab</t>
  </si>
  <si>
    <t>Dampak</t>
  </si>
  <si>
    <t>Probability</t>
  </si>
  <si>
    <t>Impact</t>
  </si>
  <si>
    <t>Control Point</t>
  </si>
  <si>
    <t>Early Warning Indicator</t>
  </si>
  <si>
    <t>Battery Procurement</t>
  </si>
  <si>
    <t>Cell counterfeit / kualitas rendah</t>
  </si>
  <si>
    <t>Supplier tidak tersertifikasi, harga miring</t>
  </si>
  <si>
    <t>Kebakaran lapangan, recall massal</t>
  </si>
  <si>
    <t>Incoming QC + audit supplier</t>
  </si>
  <si>
    <t>AVL, dual-source, sample test 100% batch awal</t>
  </si>
  <si>
    <t>Defect rate batch naik</t>
  </si>
  <si>
    <t>Assembly &amp; Testing</t>
  </si>
  <si>
    <t>Lolos cell defective</t>
  </si>
  <si>
    <t>Sampling tidak ketat / EOL test lemah</t>
  </si>
  <si>
    <t>Thermal runaway saat dipakai</t>
  </si>
  <si>
    <t>Catastrophic</t>
  </si>
  <si>
    <t>100% EOL test + 4-eye sign-off</t>
  </si>
  <si>
    <t>Investasi tester, training, traceability UID</t>
  </si>
  <si>
    <t>Escape rate &gt; 0.1%</t>
  </si>
  <si>
    <t>Stockout di jam sibuk</t>
  </si>
  <si>
    <t>Distribusi kurang, demand surge</t>
  </si>
  <si>
    <t>Rider churn, reputasi rusak</t>
  </si>
  <si>
    <t>Real-time stock monitoring + reorder threshold</t>
  </si>
  <si>
    <t>Demand forecast, dynamic dispatch, buffer 20%</t>
  </si>
  <si>
    <t>Fill-rate &lt; 90%</t>
  </si>
  <si>
    <t>Vandalisme / pencurian baterai</t>
  </si>
  <si>
    <t>Lokasi rawan, kontrol fisik lemah</t>
  </si>
  <si>
    <t>Asset loss, biaya pengganti</t>
  </si>
  <si>
    <t>CCTV, GPS tracking, locker terkunci</t>
  </si>
  <si>
    <t>Lokasi terpilih, asuransi, geofencing</t>
  </si>
  <si>
    <t>Loss rate &gt; 0.5%/bulan</t>
  </si>
  <si>
    <t>Data outage / IoT gateway down</t>
  </si>
  <si>
    <t>Konektivitas/komponen gagal</t>
  </si>
  <si>
    <t>Tidak bisa mendeteksi anomali</t>
  </si>
  <si>
    <t>Heartbeat monitoring + dual-network (4G+LoRa)</t>
  </si>
  <si>
    <t>Redundansi gateway, offline buffer</t>
  </si>
  <si>
    <t>Drop telemetri &gt; 2%</t>
  </si>
  <si>
    <t>Battery Grading</t>
  </si>
  <si>
    <t>Grading salah → ESS underperform</t>
  </si>
  <si>
    <t>Model belum matang</t>
  </si>
  <si>
    <t>Klaim SLA, biaya replace</t>
  </si>
  <si>
    <t>Lab cross-check &amp; confidence threshold</t>
  </si>
  <si>
    <t>Continuous model retraining, audit sampling</t>
  </si>
  <si>
    <t>Akurasi turun &lt; 90%</t>
  </si>
  <si>
    <t>EOL Recycling</t>
  </si>
  <si>
    <t>Pelanggaran B3</t>
  </si>
  <si>
    <t>Mitra tidak berlisensi</t>
  </si>
  <si>
    <t>Denda LHK, izin dicabut</t>
  </si>
  <si>
    <t>Manifest B3 + verifikasi izin partner</t>
  </si>
  <si>
    <t>Hanya partner ber-izin, audit triwulan</t>
  </si>
  <si>
    <t>Manifest invalid &gt; 0</t>
  </si>
  <si>
    <t>Pricing tidak profitable</t>
  </si>
  <si>
    <t>Tekanan negosiasi</t>
  </si>
  <si>
    <t>Margin negatif</t>
  </si>
  <si>
    <t>Approval CFO untuk diskon &gt; X%</t>
  </si>
  <si>
    <t>Pricing tool berbasis unit economics</t>
  </si>
  <si>
    <t>Gross margin per kontrak turun</t>
  </si>
  <si>
    <t>Penanganan lambat → churn</t>
  </si>
  <si>
    <t>Volume tinggi, agent kurang</t>
  </si>
  <si>
    <t>Reputasi &amp; retention turun</t>
  </si>
  <si>
    <t>SLA tier + auto-escalation</t>
  </si>
  <si>
    <t>Self-service portal, chatbot, training</t>
  </si>
  <si>
    <t>FRT &gt; target, CSAT turun</t>
  </si>
  <si>
    <t>Finance</t>
  </si>
  <si>
    <t>Cash burn &gt; runway</t>
  </si>
  <si>
    <t>CAPEX baterai besar, fundraising mundur</t>
  </si>
  <si>
    <t>Risiko going concern</t>
  </si>
  <si>
    <t>Monthly cash review + scenario plan</t>
  </si>
  <si>
    <t>Multi-stage fundraising, asset financing, leasing</t>
  </si>
  <si>
    <t>Runway &lt; 9 bulan</t>
  </si>
  <si>
    <t>IT / VoltOS</t>
  </si>
  <si>
    <t>Cyber attack / data breach</t>
  </si>
  <si>
    <t>Vulnerability, phishing</t>
  </si>
  <si>
    <t>Data rider/fleet bocor, sanksi UU PDP</t>
  </si>
  <si>
    <t>SOC, pentest, IAM</t>
  </si>
  <si>
    <t>ISO 27001 readiness, security training</t>
  </si>
  <si>
    <t>Anomali login / IOC</t>
  </si>
  <si>
    <t>HR</t>
  </si>
  <si>
    <t>Hilangnya key engineer</t>
  </si>
  <si>
    <t>Kompetisi talenta tinggi</t>
  </si>
  <si>
    <t>Roadmap VoltOS molor</t>
  </si>
  <si>
    <t>Succession plan + knowledge mgmt</t>
  </si>
  <si>
    <t>ESOP, dokumentasi, knowledge sharing</t>
  </si>
  <si>
    <t>Turnover engineer &gt; 15%/tahun</t>
  </si>
  <si>
    <t>11. SOP DRAFT — 3 PROSES PALING KRITIS</t>
  </si>
  <si>
    <t>SOP-001 — Battery Testing &amp; VoltOS Registration</t>
  </si>
  <si>
    <t>Tujuan</t>
  </si>
  <si>
    <t>Memastikan setiap VoltBattery yang diproduksi memenuhi spec teknis dan memiliki digital identity yang valid di VoltOS sebelum di-deploy.</t>
  </si>
  <si>
    <t>Ruang Lingkup</t>
  </si>
  <si>
    <t>Dari kedatangan cell baterai sampai status “Ready to Deploy” di VoltOS.</t>
  </si>
  <si>
    <t>Penanggung Jawab</t>
  </si>
  <si>
    <t>Production Manager (R), Head of QA (A), CTO (C), Asset Manager (I)</t>
  </si>
  <si>
    <t>Cell baterai, BMS, casing, protokol test, UID range</t>
  </si>
  <si>
    <t>Langkah Kerja</t>
  </si>
  <si>
    <t>(1) Verifikasi PO &amp; terima batch  (2) Visual + dimensi sampling per AQL  (3) Capacity &amp; IR test sample (n=sesuai AQL)  (4) Assembly pack sesuai work instruction  (5) End-of-line test 100% (charge, discharge, BMS comm, isolation)  (6) Generate UID + pairing BMS + registrasi di VoltOS  (7) Verifikasi UID unik &amp; data tersinkron  (8) Pindahkan ke gudang dengan status “Ready to Deploy”</t>
  </si>
  <si>
    <t>VoltBattery lulus QC + UID aktif di VoltOS + sertifikat QC</t>
  </si>
  <si>
    <t>Dokumen Terkait</t>
  </si>
  <si>
    <t>QC checklist, EOL test sheet, asset registry, work instruction WI-PROD-001</t>
  </si>
  <si>
    <t>First-pass yield ≥ 98%; Escape rate ≤ 0.1%; Registrasi sukses first-try ≥ 99%</t>
  </si>
  <si>
    <t>Risiko &amp; Mitigasi</t>
  </si>
  <si>
    <t>Lolos cell defective → 100% EOL test + 4-eyes sign-off; Salah UID → validasi otomatis di VoltOS; Data hilang → backup harian</t>
  </si>
  <si>
    <t>SOP-002 — Rider Battery Swap Transaction</t>
  </si>
  <si>
    <t>Memastikan setiap rider dapat melakukan swap baterai cepat, aman, dan tercatat di VoltOS.</t>
  </si>
  <si>
    <t>Dari rider tap NFC di stasiun sampai baterai kosong mulai recharge.</t>
  </si>
  <si>
    <t>Station Operator/VoltOS (R), Head of Operations (A), CS (C/I)</t>
  </si>
  <si>
    <t>Akun aktif rider, baterai charged di locker, station online</t>
  </si>
  <si>
    <t>(1) Rider autentikasi (NFC/QR/App)  (2) VoltOS validasi saldo &amp; status akun  (3) Pilih locker baterai SoC tertinggi  (4) Buka locker kosong untuk drop baterai habis  (5) Validasi UID baterai yg dimasukkan (sensor berat + UID match)  (6) Buka locker baterai full  (7) Rider ambil baterai full  (8) Catat transaksi &amp; billing di VoltOS  (9) Mulai siklus recharge baterai kosong  (10) Kirim notifikasi sukses ke app rider</t>
  </si>
  <si>
    <t>Swap sukses &lt; 2 menit + billing entry + telemetri recharge mulai</t>
  </si>
  <si>
    <t>Tariff plan, swap log, BMS profile, runbook station</t>
  </si>
  <si>
    <t>Swap success rate ≥ 99%; Avg swap time ≤ 120 detik; Billing dispute rate ≤ 0.2%</t>
  </si>
  <si>
    <t>Locker stuck → protokol unlock manual + tiket otomatis; SoC &lt; target → station hanya release pack &gt; 90% SoC; Pencurian → UID match + CCTV + denda akun</t>
  </si>
  <si>
    <t>SOP-003 — Battery Safety &amp; B3 Waste Compliance</t>
  </si>
  <si>
    <t>Memastikan operasional baterai aman dari thermal incident dan pembuangan baterai end-of-life sesuai regulasi B3 Permen LHK.</t>
  </si>
  <si>
    <t>Seluruh swap station, gudang baterai, dan jalur transport baterai EOL ke mitra recycling.</t>
  </si>
  <si>
    <t>Head of HSE (R), Compliance Officer (A), COO (C), External Affairs (I)</t>
  </si>
  <si>
    <t>Regulasi LHK &amp; K3, daftar mitra recycling tersertifikasi, manifest B3</t>
  </si>
  <si>
    <t>(1) Pemetaan regulasi terbaru (kuartalan)  (2) Audit safety swap station &amp; gudang (checklist K3)  (3) Drill kebakaran 2x/tahun per site  (4) Identifikasi baterai grade X dari VoltOS  (5) Segregasi &amp; labelling B3  (6) Terbitkan manifest B3 dgn izin pengangkut tervalidasi  (7) Transport oleh pihak tersertifikasi ke mitra recycling  (8) Berita acara serah-terima + recovered material report  (9) Lapor ke regulator &amp; investor (ESG report)</t>
  </si>
  <si>
    <t>Manifest valid 100%, bukti recycling, izin aktif, laporan ESG</t>
  </si>
  <si>
    <t>Manifest B3 LHK, izin pengangkut, sertifikat mitra recycling, audit checklist K3, ESG report</t>
  </si>
  <si>
    <t>Safety incident = 0; Manifest compliance 100%; Audit pass rate 100%; % EOL terdaur ≥ 95%</t>
  </si>
  <si>
    <t>Pelanggaran B3 → hanya mitra ber-izin, verifikasi triwulan; Kebakaran → thermal sensor, fire suppression, training; Reputasi → transparansi ESG ke publik</t>
  </si>
  <si>
    <t>12. IMPROVEMENT RECOMMENDATION</t>
  </si>
  <si>
    <t>Dimensi</t>
  </si>
  <si>
    <t>Kondisi Saat Ini (Pilot)</t>
  </si>
  <si>
    <t>Rekomendasi Perbaikan</t>
  </si>
  <si>
    <t>Expected Impact</t>
  </si>
  <si>
    <t>Prioritas</t>
  </si>
  <si>
    <t>Efisiensi Biaya</t>
  </si>
  <si>
    <t>Cost per kWh masih tinggi karena volume rendah &amp; dependency 1 supplier [Perlu Validasi]</t>
  </si>
  <si>
    <t>Dual-source cell, joint purchasing dgn ekosistem EV lokal, leverage skema asset financing untuk CAPEX</t>
  </si>
  <si>
    <t>Turun 10–15% cost/kWh dalam 12 bulan</t>
  </si>
  <si>
    <t>Tinggi</t>
  </si>
  <si>
    <t>Kecepatan Proses</t>
  </si>
  <si>
    <t>Average swap time masih 90–150 detik [Asumsi]; deployment station 2–3 minggu</t>
  </si>
  <si>
    <t>Modular kiosk, prefabrikasi off-site, otomatisasi locker assignment via VoltOS</t>
  </si>
  <si>
    <t>Swap &lt; 90 detik; deploy station &lt; 7 hari</t>
  </si>
  <si>
    <t>Kualitas Output</t>
  </si>
  <si>
    <t>Grading masih membutuhkan review manual besar</t>
  </si>
  <si>
    <t>Latih model grading dengan dataset lab + auto-confidence; baru manual review untuk borderline</t>
  </si>
  <si>
    <t>Akurasi ≥ 95%, review manual turun 70%</t>
  </si>
  <si>
    <t>Risiko Operasional</t>
  </si>
  <si>
    <t>Risiko thermal &amp; B3 masih bergantung audit periodik</t>
  </si>
  <si>
    <t>Real-time thermal alert (VoltOS) + integrasi GRC tool + drill kebakaran terjadwal</t>
  </si>
  <si>
    <t>Insiden = 0, audit pass 100%</t>
  </si>
  <si>
    <t>Wajib</t>
  </si>
  <si>
    <t>Skalabilitas</t>
  </si>
  <si>
    <t>Operasi station masih manual / semi-manual; biaya per station tinggi</t>
  </si>
  <si>
    <t>Self-service station + remote ops center (1 ops menangani 30+ station)</t>
  </si>
  <si>
    <t>OPEX per station turun 40%</t>
  </si>
  <si>
    <t>Kesiapan Teknologi</t>
  </si>
  <si>
    <t>VoltOS masih dalam pengembangan core modules</t>
  </si>
  <si>
    <t>Prioritaskan modul: digital twin baterai, predictive maintenance, billing, API fleet partner</t>
  </si>
  <si>
    <t>Time-to-value fleet &lt; 14 hari, fitur core complete H2</t>
  </si>
  <si>
    <t>Kebutuhan SDM</t>
  </si>
  <si>
    <t>Engineer baterai &amp; data scientist scarce</t>
  </si>
  <si>
    <t>Program magang “Battery Academy” dgn kampus vokasi + retention ESOP</t>
  </si>
  <si>
    <t>Turnover engineer &lt; 10%; pipeline talenta stabil</t>
  </si>
  <si>
    <t>Sedang</t>
  </si>
  <si>
    <t>Customer Experience</t>
  </si>
  <si>
    <t>Onboarding rider belum self-service penuh</t>
  </si>
  <si>
    <t>App + KYC digital + tutorial in-station; multibahasa</t>
  </si>
  <si>
    <t>Aktivasi &lt; 5 menit, retention bulan-1 ≥ 70%</t>
  </si>
  <si>
    <t>Sustainability/ESG</t>
  </si>
  <si>
    <t>Belum ada disclosure ESG formal</t>
  </si>
  <si>
    <t>Adopsi GRI/SASB-light; lapor carbon avoided + circular metric</t>
  </si>
  <si>
    <t>ESG-ready untuk investor seri A/B</t>
  </si>
  <si>
    <t>VOLTLOOP ASSUMPTIONS &amp; DRIVERS  |  Series A Financial Model</t>
  </si>
  <si>
    <t>SCENARIO SELECTOR</t>
  </si>
  <si>
    <t>Active Scenario</t>
  </si>
  <si>
    <t>Base</t>
  </si>
  <si>
    <t>Blue = Input</t>
  </si>
  <si>
    <t>Green = Cross-sheet link</t>
  </si>
  <si>
    <t>Toggle index (1=Cons, 2=Base, 3=Aggr)</t>
  </si>
  <si>
    <t>Black = Formula</t>
  </si>
  <si>
    <t>Yellow BG = Active toggle</t>
  </si>
  <si>
    <t>MACRO ASSUMPTIONS</t>
  </si>
  <si>
    <t>Variable</t>
  </si>
  <si>
    <t>Conservative</t>
  </si>
  <si>
    <t>Aggressive</t>
  </si>
  <si>
    <t>Active</t>
  </si>
  <si>
    <t>Unit</t>
  </si>
  <si>
    <t>Source</t>
  </si>
  <si>
    <t>Source URL</t>
  </si>
  <si>
    <t>Indonesia Inflation Rate</t>
  </si>
  <si>
    <t>% YoY</t>
  </si>
  <si>
    <t>Bank Indonesia 2025</t>
  </si>
  <si>
    <t>bi.go.id/inflasi</t>
  </si>
  <si>
    <t>Discount Rate (WACC)</t>
  </si>
  <si>
    <t>%</t>
  </si>
  <si>
    <t>Climate-tech bench</t>
  </si>
  <si>
    <t>climatepolicyinitiative.org</t>
  </si>
  <si>
    <t>FX IDR per USD</t>
  </si>
  <si>
    <t>IDR/USD</t>
  </si>
  <si>
    <t>BI mid-rate</t>
  </si>
  <si>
    <t>bi.go.id/kurs</t>
  </si>
  <si>
    <t>Capex inflation</t>
  </si>
  <si>
    <t>Internal</t>
  </si>
  <si>
    <t>internal (BI inflation proxy)</t>
  </si>
  <si>
    <t>Battery cost trajectory ($/kWh)</t>
  </si>
  <si>
    <t>USD/kWh</t>
  </si>
  <si>
    <t>BloombergNEF 2025</t>
  </si>
  <si>
    <t>about.bnef.com/EVO</t>
  </si>
  <si>
    <t>Diesel price (PLN PLTD)</t>
  </si>
  <si>
    <t>IDR/kWh</t>
  </si>
  <si>
    <t>IEEFA 2024</t>
  </si>
  <si>
    <t>ieefa.org/indonesia</t>
  </si>
  <si>
    <t>Carbon price IDXCarbon</t>
  </si>
  <si>
    <t>IDR/tCO2</t>
  </si>
  <si>
    <t>IDXCarbon Jan 2025</t>
  </si>
  <si>
    <t>idxcarbon.co.id</t>
  </si>
  <si>
    <t>Carbon price voluntary</t>
  </si>
  <si>
    <t>USD/tCO2</t>
  </si>
  <si>
    <t>Verra/Gold Standard</t>
  </si>
  <si>
    <t>verra.org/VCS</t>
  </si>
  <si>
    <t>Corporate tax rate</t>
  </si>
  <si>
    <t>Indonesia</t>
  </si>
  <si>
    <t>pajak.go.id/corporate-tax</t>
  </si>
  <si>
    <t>BUSINESS DRIVERS</t>
  </si>
  <si>
    <t>EV motorcycle adoption growth %YoY</t>
  </si>
  <si>
    <t>MEMR roadmap</t>
  </si>
  <si>
    <t>esdm.go.id (MEMR)</t>
  </si>
  <si>
    <t>Courier population growth %YoY</t>
  </si>
  <si>
    <t>ITDP 2025</t>
  </si>
  <si>
    <t>itdp.org/indonesia</t>
  </si>
  <si>
    <t>Battery degradation rate (annual)</t>
  </si>
  <si>
    <t>ScienceDirect tropical</t>
  </si>
  <si>
    <t>sciencedirect.com</t>
  </si>
  <si>
    <t>Hub utilization (steady state)</t>
  </si>
  <si>
    <t>Gogoro/SUN bench</t>
  </si>
  <si>
    <t>gogoro.com/news</t>
  </si>
  <si>
    <t>Microgrid uptime</t>
  </si>
  <si>
    <t>PLN PLTS spec</t>
  </si>
  <si>
    <t>pln.co.id</t>
  </si>
  <si>
    <t>Customer churn (monthly)</t>
  </si>
  <si>
    <t>B2B SaaS bench</t>
  </si>
  <si>
    <t>bvp.com/atlas (SaaS bench)</t>
  </si>
  <si>
    <t>Battery acquisition cost</t>
  </si>
  <si>
    <t>IDR/unit</t>
  </si>
  <si>
    <t>Electrum/CATL bench</t>
  </si>
  <si>
    <t>catl.com</t>
  </si>
  <si>
    <t>Swap subscription price</t>
  </si>
  <si>
    <t>IDR/motor/mo</t>
  </si>
  <si>
    <t>Smoot bench</t>
  </si>
  <si>
    <t>smoot.id</t>
  </si>
  <si>
    <t>Microgrid subscription price</t>
  </si>
  <si>
    <t>IDR/HH/mo</t>
  </si>
  <si>
    <t>MENTARI ADB</t>
  </si>
  <si>
    <t>mentari.info (ADB)</t>
  </si>
  <si>
    <t>Hub capex</t>
  </si>
  <si>
    <t>IDR/hub</t>
  </si>
  <si>
    <t>Internal eng</t>
  </si>
  <si>
    <t>Internal engineering estimate</t>
  </si>
  <si>
    <t>Microgrid capex (160 HH)</t>
  </si>
  <si>
    <t>IDR</t>
  </si>
  <si>
    <t>Battery passport SaaS ARPU</t>
  </si>
  <si>
    <t>USD/battery/yr</t>
  </si>
  <si>
    <t>Comp bench</t>
  </si>
  <si>
    <t>connected-energy.co.uk</t>
  </si>
  <si>
    <t>OEM analytics API ARPU</t>
  </si>
  <si>
    <t>USD/OEM/yr</t>
  </si>
  <si>
    <t>Connected Energy</t>
  </si>
  <si>
    <t>Carbon monetization rate</t>
  </si>
  <si>
    <t>Verra MRV bench</t>
  </si>
  <si>
    <t>verra.org/methodologies</t>
  </si>
  <si>
    <t>Hub deployment rate Y1</t>
  </si>
  <si>
    <t>hubs</t>
  </si>
  <si>
    <t>Internal plan</t>
  </si>
  <si>
    <t>Internal deployment plan</t>
  </si>
  <si>
    <t>Microgrid deployment rate Y1</t>
  </si>
  <si>
    <t>units</t>
  </si>
  <si>
    <t>DEPLOYMENT TRAJECTORY (5-Year, Active Scenario)</t>
  </si>
  <si>
    <t>Metric</t>
  </si>
  <si>
    <t>Notes</t>
  </si>
  <si>
    <t>Active Swap Hubs (EoY)</t>
  </si>
  <si>
    <t>Cumulative</t>
  </si>
  <si>
    <t>Active Microgrids (EoY)</t>
  </si>
  <si>
    <t>Avg couriers per hub</t>
  </si>
  <si>
    <t>Ramp</t>
  </si>
  <si>
    <t>Avg homes per microgrid</t>
  </si>
  <si>
    <t>Density</t>
  </si>
  <si>
    <t>Total batteries deployed</t>
  </si>
  <si>
    <t>All assets</t>
  </si>
  <si>
    <t>OEM analytics customers</t>
  </si>
  <si>
    <t>API tier 2-3</t>
  </si>
  <si>
    <t>No</t>
  </si>
  <si>
    <t>Produk/Kategori</t>
  </si>
  <si>
    <t>Variabel Input</t>
  </si>
  <si>
    <t>Nilai Kerja</t>
  </si>
  <si>
    <t>Satuan</t>
  </si>
  <si>
    <t>Rumus/Konversi</t>
  </si>
  <si>
    <t>Status</t>
  </si>
  <si>
    <t>Source + Link Verifikasi Manual</t>
  </si>
  <si>
    <t>Catatan Pemakaian</t>
  </si>
  <si>
    <t>Makro</t>
  </si>
  <si>
    <t>Kurs USD/IDR</t>
  </si>
  <si>
    <t>Rp/USD</t>
  </si>
  <si>
    <t>BI JISDOR 5 Juni 2026</t>
  </si>
  <si>
    <t>Source-based</t>
  </si>
  <si>
    <t>Bank Indonesia JISDOR</t>
  </si>
  <si>
    <t>Pakai untuk semua konversi USD ke rupiah</t>
  </si>
  <si>
    <t>Pajak</t>
  </si>
  <si>
    <t>PPN umum efektif</t>
  </si>
  <si>
    <t>12% × 11/12 DPP</t>
  </si>
  <si>
    <t>DJP/Pajak.go.id</t>
  </si>
  <si>
    <t>Untuk barang/jasa non-mewah</t>
  </si>
  <si>
    <t>Tarif PPN formal</t>
  </si>
  <si>
    <t>Tarif umum formal</t>
  </si>
  <si>
    <t>Hati-hati: tidak selalu efektif 12% untuk barang non-mewah</t>
  </si>
  <si>
    <t>Listrik</t>
  </si>
  <si>
    <t>Tarif listrik bisnis B-2</t>
  </si>
  <si>
    <t>Rp/kWh</t>
  </si>
  <si>
    <t>Tarif benchmark B-2</t>
  </si>
  <si>
    <t>Market benchmark</t>
  </si>
  <si>
    <t>SUN Energy tarif listrik 2026</t>
  </si>
  <si>
    <t>Cocok untuk charging station skala kecil-menengah</t>
  </si>
  <si>
    <t>Tarif listrik industri I-3</t>
  </si>
  <si>
    <t>Tarif benchmark I-3</t>
  </si>
  <si>
    <t>Cocok untuk workshop/charging skala industri</t>
  </si>
  <si>
    <t>UMP DKI Jakarta 2026</t>
  </si>
  <si>
    <t>Rp/bulan</t>
  </si>
  <si>
    <t>Minimum wage</t>
  </si>
  <si>
    <t>JDIH DKI Jakarta</t>
  </si>
  <si>
    <t>Benchmark gaji minimum Jakarta</t>
  </si>
  <si>
    <t>UMK Kota Bandung 2026</t>
  </si>
  <si>
    <t>Pemprov Jabar/Kota Bandung</t>
  </si>
  <si>
    <t>Benchmark operator/teknisi Bandung</t>
  </si>
  <si>
    <t>UMK Kota Bekasi 2026</t>
  </si>
  <si>
    <t>Pemprov Jabar</t>
  </si>
  <si>
    <t>Benchmark area manufaktur besar</t>
  </si>
  <si>
    <t>UMK Kabupaten Bekasi 2026</t>
  </si>
  <si>
    <t>Pemprov Jabar/Jakarta Globe</t>
  </si>
  <si>
    <t>Alternatif lokasi manufaktur/logistik</t>
  </si>
  <si>
    <t>VoltBattery</t>
  </si>
  <si>
    <t>Kapasitas battery pack</t>
  </si>
  <si>
    <t>kWh/pack</t>
  </si>
  <si>
    <t>72V × 20Ah / 1000</t>
  </si>
  <si>
    <t>Assumption</t>
  </si>
  <si>
    <t>Internal desain VOLTLOOP</t>
  </si>
  <si>
    <t>Harus konsisten dengan spesifikasi teknis proposal</t>
  </si>
  <si>
    <t>Global Li-ion pack average 2025</t>
  </si>
  <si>
    <t>BloombergNEF</t>
  </si>
  <si>
    <t>Benchmark umum pack lithium-ion</t>
  </si>
  <si>
    <t>LFP pack average 2025</t>
  </si>
  <si>
    <t>Cocok karena desain awal VOLTLOOP mengarah ke LFP</t>
  </si>
  <si>
    <t>China pack average 2025</t>
  </si>
  <si>
    <t>Benchmark biaya rendah/global supply</t>
  </si>
  <si>
    <t>Two-/three-wheeler pack estimate</t>
  </si>
  <si>
    <t>Unverified</t>
  </si>
  <si>
    <t>Perlu full BNEF report / sumber lain</t>
  </si>
  <si>
    <t>Jangan dipakai sebagai source-based sebelum ketemu dokumen publik</t>
  </si>
  <si>
    <t>Core pack cost berdasar global average</t>
  </si>
  <si>
    <t>Rp/pack</t>
  </si>
  <si>
    <t>108 × 1,44 × 18.039</t>
  </si>
  <si>
    <t>Calculated</t>
  </si>
  <si>
    <t>BloombergNEF + BI</t>
  </si>
  <si>
    <t>Belum termasuk casing, BMS, QC, margin, warranty</t>
  </si>
  <si>
    <t>Core LFP pack cost</t>
  </si>
  <si>
    <t>81 × 1,44 × 18.039</t>
  </si>
  <si>
    <t>Angka target optimistis, bukan harga siap pakai</t>
  </si>
  <si>
    <t>Core China pack cost</t>
  </si>
  <si>
    <t>84 × 1,44 × 18.039</t>
  </si>
  <si>
    <t>Cocok untuk benchmark impor/China supply</t>
  </si>
  <si>
    <t>Swappable lithium battery pack umum</t>
  </si>
  <si>
    <t>240–680</t>
  </si>
  <si>
    <t>USD/pack</t>
  </si>
  <si>
    <t>HelloPower</t>
  </si>
  <si>
    <t>Range untuk 48–72V pack</t>
  </si>
  <si>
    <t>Swappable pack umum dalam rupiah</t>
  </si>
  <si>
    <t>4.329.360–12.266.520</t>
  </si>
  <si>
    <t>240–680 × 18.039</t>
  </si>
  <si>
    <t>HelloPower + BI</t>
  </si>
  <si>
    <t>Pakai sebagai range procurement</t>
  </si>
  <si>
    <t>Swappable high-performance pack</t>
  </si>
  <si>
    <t>440–680</t>
  </si>
  <si>
    <t>Lebih relevan untuk 60–72V e-motorcycle</t>
  </si>
  <si>
    <t>High-performance pack dalam rupiah</t>
  </si>
  <si>
    <t>7.937.160–12.266.520</t>
  </si>
  <si>
    <t>440–680 × 18.039</t>
  </si>
  <si>
    <t>Cocok untuk pilot procurement conservative</t>
  </si>
  <si>
    <t>Battery cycle life benchmark</t>
  </si>
  <si>
    <t>800–1.200</t>
  </si>
  <si>
    <t>full cycles</t>
  </si>
  <si>
    <t>Untuk replacement schedule</t>
  </si>
  <si>
    <t>SoH setelah cycle benchmark</t>
  </si>
  <si>
    <t>±80%</t>
  </si>
  <si>
    <t>capacity remaining</t>
  </si>
  <si>
    <t>Setelah 800–1.200 cycles</t>
  </si>
  <si>
    <t>Perlu uji AXION sendiri</t>
  </si>
  <si>
    <t>Warranty provision</t>
  </si>
  <si>
    <t>3–5%</t>
  </si>
  <si>
    <t>% COGS</t>
  </si>
  <si>
    <t>COGS × 3–5%</t>
  </si>
  <si>
    <t>Supplier quotation needed</t>
  </si>
  <si>
    <t>Perlu data warranty vendor/pilot</t>
  </si>
  <si>
    <t>Reject/scrap rate awal</t>
  </si>
  <si>
    <t>3–8%</t>
  </si>
  <si>
    <t>% produksi</t>
  </si>
  <si>
    <t>Output reject / total output</t>
  </si>
  <si>
    <t>Pilot-required</t>
  </si>
  <si>
    <t>Harus dari trial assembly</t>
  </si>
  <si>
    <t>Target COGS pilot conservative</t>
  </si>
  <si>
    <t>7,9–12,3 juta</t>
  </si>
  <si>
    <t>dari high-performance pack range</t>
  </si>
  <si>
    <t>Aman untuk pilot karena berbasis procurement</t>
  </si>
  <si>
    <t>Target COGS scale-up assembly</t>
  </si>
  <si>
    <t>5,5–7,5 juta</t>
  </si>
  <si>
    <t>Estimasi assembly lokal</t>
  </si>
  <si>
    <t>Harus divalidasi dengan BOM vendor</t>
  </si>
  <si>
    <t>VoltSwap</t>
  </si>
  <si>
    <t>Smart swap cabinet 10-slot</t>
  </si>
  <si>
    <t>1.400–2.000</t>
  </si>
  <si>
    <t>USD/unit</t>
  </si>
  <si>
    <t>Cabinet saja, belum seluruh station</t>
  </si>
  <si>
    <t>Smart swap cabinet 10-slot rupiah</t>
  </si>
  <si>
    <t>25.254.600–36.078.000</t>
  </si>
  <si>
    <t>Rp/unit</t>
  </si>
  <si>
    <t>1.400–2.000 × 18.039</t>
  </si>
  <si>
    <t>Untuk CAPEX cabinet</t>
  </si>
  <si>
    <t>Jumlah slot per cabinet</t>
  </si>
  <si>
    <t>slot/cabinet</t>
  </si>
  <si>
    <t>Base design awal station</t>
  </si>
  <si>
    <t>Battery pool per 10-slot cabinet</t>
  </si>
  <si>
    <t>20–30</t>
  </si>
  <si>
    <t>pack/station</t>
  </si>
  <si>
    <t>Battery pool harus &gt; slot</t>
  </si>
  <si>
    <t>Entry pilot station budget</t>
  </si>
  <si>
    <t>10.000–20.000</t>
  </si>
  <si>
    <t>USD/station</t>
  </si>
  <si>
    <t>1 cabinet + 20 batteries</t>
  </si>
  <si>
    <t>Exclude kendaraan &amp; civil works lokal</t>
  </si>
  <si>
    <t>Entry pilot station budget rupiah</t>
  </si>
  <si>
    <t>180.390.000–360.780.000</t>
  </si>
  <si>
    <t>Rp/station</t>
  </si>
  <si>
    <t>10.000–20.000 × 18.039</t>
  </si>
  <si>
    <t>Input CAPEX pilot</t>
  </si>
  <si>
    <t>City node station budget</t>
  </si>
  <si>
    <t>15.000–30.000</t>
  </si>
  <si>
    <t>1 cabinet + 25–30 batteries</t>
  </si>
  <si>
    <t>Untuk deployment lebih serius</t>
  </si>
  <si>
    <t>City node station budget rupiah</t>
  </si>
  <si>
    <t>270.585.000–541.170.000</t>
  </si>
  <si>
    <t>15.000–30.000 × 18.039</t>
  </si>
  <si>
    <t>Cocok skenario base case</t>
  </si>
  <si>
    <t>Small two-cabinet hub budget</t>
  </si>
  <si>
    <t>30.000–60.000</t>
  </si>
  <si>
    <t>USD/hub</t>
  </si>
  <si>
    <t>2 cabinet + 40–60 batteries</t>
  </si>
  <si>
    <t>Untuk corridor/logistics hub</t>
  </si>
  <si>
    <t>Small hub budget rupiah</t>
  </si>
  <si>
    <t>541.170.000–1.082.340.000</t>
  </si>
  <si>
    <t>Rp/hub</t>
  </si>
  <si>
    <t>30.000–60.000 × 18.039</t>
  </si>
  <si>
    <t>CAPEX skala tinggi</t>
  </si>
  <si>
    <t>Local civil works &amp; installation</t>
  </si>
  <si>
    <t>10–25%</t>
  </si>
  <si>
    <t>% hardware cost</t>
  </si>
  <si>
    <t>Hardware × 10–25%</t>
  </si>
  <si>
    <t>RFQ kontraktor listrik/site</t>
  </si>
  <si>
    <t>Tidak valid kalau cuma pakai internet</t>
  </si>
  <si>
    <t>Charging efficiency</t>
  </si>
  <si>
    <t>energy output / grid input</t>
  </si>
  <si>
    <t>Perlu uji charger aktual</t>
  </si>
  <si>
    <t>Grid energy per full charge</t>
  </si>
  <si>
    <t>kWh/charge</t>
  </si>
  <si>
    <t>1,44 / 90%</t>
  </si>
  <si>
    <t>Internal formula</t>
  </si>
  <si>
    <t>Gunakan untuk electricity cost per swap</t>
  </si>
  <si>
    <t>Electricity cost per full charge B-2</t>
  </si>
  <si>
    <t>Rp/charge</t>
  </si>
  <si>
    <t>1,6 × 1.444,70</t>
  </si>
  <si>
    <t>SUN Energy tarif listrik</t>
  </si>
  <si>
    <t>Belum termasuk idle load/cooling</t>
  </si>
  <si>
    <t>Established station daily swaps</t>
  </si>
  <si>
    <t>30–60</t>
  </si>
  <si>
    <t>swaps/day</t>
  </si>
  <si>
    <t>Vendor operating benchmark</t>
  </si>
  <si>
    <t>Jangan klaim untuk AXION sebelum pilot</t>
  </si>
  <si>
    <t>Payback station benchmark</t>
  </si>
  <si>
    <t>18–30</t>
  </si>
  <si>
    <t>bulan</t>
  </si>
  <si>
    <t>Hanya benchmark vendor, bukan bukti AXION</t>
  </si>
  <si>
    <t>Maintenance station</t>
  </si>
  <si>
    <t>2–5%</t>
  </si>
  <si>
    <t>% CAPEX/year</t>
  </si>
  <si>
    <t>CAPEX × 2–5%</t>
  </si>
  <si>
    <t>Pilot/RFQ O&amp;M needed</t>
  </si>
  <si>
    <t>Perlu data vendor dan kondisi lokasi</t>
  </si>
  <si>
    <t>Site rent station</t>
  </si>
  <si>
    <t>Placeholder</t>
  </si>
  <si>
    <t>Survei lokasi/LOI partner</t>
  </si>
  <si>
    <t>Wajib cari per lokasi: Alfamart/SPBU/kampus/gudang</t>
  </si>
  <si>
    <t>EC2 t3.medium benchmark</t>
  </si>
  <si>
    <t>USD/hour</t>
  </si>
  <si>
    <t>Vantage AWS pricing</t>
  </si>
  <si>
    <t>Untuk server app/dashboard awal</t>
  </si>
  <si>
    <t>EC2 t3.medium monthly</t>
  </si>
  <si>
    <t>Rp/month</t>
  </si>
  <si>
    <t>0,0416 × 24 × 30 × 18.039</t>
  </si>
  <si>
    <t>Vantage + BI</t>
  </si>
  <si>
    <t>Belum termasuk storage, bandwidth, backup</t>
  </si>
  <si>
    <t>RDS db.t3.micro benchmark</t>
  </si>
  <si>
    <t>Vantage RDS pricing</t>
  </si>
  <si>
    <t>Untuk database kecil/pilot</t>
  </si>
  <si>
    <t>RDS db.t3.micro monthly</t>
  </si>
  <si>
    <t>0,018 × 24 × 30 × 18.039</t>
  </si>
  <si>
    <t>Belum termasuk storage dan I/O</t>
  </si>
  <si>
    <t>IoT SIM Telkomsel testing bundle</t>
  </si>
  <si>
    <t>4 SIM, 50MB/SIM/month, 3 bulan</t>
  </si>
  <si>
    <t>paket</t>
  </si>
  <si>
    <t>Telkomsel M2M portal</t>
  </si>
  <si>
    <t>Bagus untuk pilot testing konektivitas</t>
  </si>
  <si>
    <t>IoT/M2M SIM retail benchmark</t>
  </si>
  <si>
    <t>Rp/SIM/6 bulan</t>
  </si>
  <si>
    <t>Rp50.000/bulan</t>
  </si>
  <si>
    <t>TrackSolid.id</t>
  </si>
  <si>
    <t>Benchmark retail, bukan enterprise quotation</t>
  </si>
  <si>
    <t>IoT SIM monthly input</t>
  </si>
  <si>
    <t>30.000–75.000</t>
  </si>
  <si>
    <t>Rp/SIM/month</t>
  </si>
  <si>
    <t>Range dari retail + buffer</t>
  </si>
  <si>
    <t>Enterprise quotation needed</t>
  </si>
  <si>
    <t>Harus minta harga Telkomsel/Indosat/XL enterprise</t>
  </si>
  <si>
    <t>Initial software development</t>
  </si>
  <si>
    <t>150–500 juta</t>
  </si>
  <si>
    <t>Rp/project</t>
  </si>
  <si>
    <t>Estimasi build dashboard, API, analytics</t>
  </si>
  <si>
    <t>Vendor software quotation needed</t>
  </si>
  <si>
    <t>Perlu quotation dev house / estimasi internal team</t>
  </si>
  <si>
    <t>Cloud OPEX pilot</t>
  </si>
  <si>
    <t>2–10 juta</t>
  </si>
  <si>
    <t>Server + DB + monitoring + storage</t>
  </si>
  <si>
    <t>AWS calculator/manual architecture</t>
  </si>
  <si>
    <t>Hitung ulang setelah arsitektur VoltOS fix</t>
  </si>
  <si>
    <t>Software maintenance</t>
  </si>
  <si>
    <t>% dev cost/year</t>
  </si>
  <si>
    <t>Dev cost × 10–25%</t>
  </si>
  <si>
    <t>Untuk bugfix, security, support</t>
  </si>
  <si>
    <t>SaaS revenue per station</t>
  </si>
  <si>
    <t>150.000–500.000</t>
  </si>
  <si>
    <t>Rp/station/month</t>
  </si>
  <si>
    <t>WTP survey/B2B interview</t>
  </si>
  <si>
    <t>Tidak bisa valid hanya dari internet</t>
  </si>
  <si>
    <t>SaaS revenue per battery</t>
  </si>
  <si>
    <t>10.000–30.000</t>
  </si>
  <si>
    <t>Rp/battery/month</t>
  </si>
  <si>
    <t>Perlu validasi calon operator/fleet</t>
  </si>
  <si>
    <t>VoltGrid</t>
  </si>
  <si>
    <t>Stationary storage pack 2025</t>
  </si>
  <si>
    <t>Benchmark pack stationary storage</t>
  </si>
  <si>
    <t>Stationary storage pack rupiah</t>
  </si>
  <si>
    <t>70 × 18.039</t>
  </si>
  <si>
    <t>Belum termasuk PCS, EMS, enclosure</t>
  </si>
  <si>
    <t>Commercial BESS LIB 4-hour</t>
  </si>
  <si>
    <t>NREL/NLR ATB</t>
  </si>
  <si>
    <t>Benchmark BESS komersial</t>
  </si>
  <si>
    <t>Commercial BESS LIB 4-hour rupiah</t>
  </si>
  <si>
    <t>199 × 18.039</t>
  </si>
  <si>
    <t>NREL/NLR ATB + BI</t>
  </si>
  <si>
    <t>Lebih realistis untuk sistem installed awal</t>
  </si>
  <si>
    <t>Battery central inverter price</t>
  </si>
  <si>
    <t>USD/kW</t>
  </si>
  <si>
    <t>Input PCS/inverter</t>
  </si>
  <si>
    <t>Inverter price rupiah</t>
  </si>
  <si>
    <t>Rp/kW</t>
  </si>
  <si>
    <t>97,5 × 18.039</t>
  </si>
  <si>
    <t>Untuk sizing kW VoltGrid</t>
  </si>
  <si>
    <t>Round-trip efficiency BESS</t>
  </si>
  <si>
    <t>NREL/NLR ATB technical data</t>
  </si>
  <si>
    <t>Untuk energy loss model</t>
  </si>
  <si>
    <t>Fixed O&amp;M BESS</t>
  </si>
  <si>
    <t>CAPEX × 2,5%</t>
  </si>
  <si>
    <t>Source-based benchmark</t>
  </si>
  <si>
    <t>Bisa pakai untuk VoltGrid, bukan VoltSwap</t>
  </si>
  <si>
    <t>Second-life remaining capacity</t>
  </si>
  <si>
    <t>70–80%</t>
  </si>
  <si>
    <t>% original capacity</t>
  </si>
  <si>
    <t>Second-life battery review (arXiv)</t>
  </si>
  <si>
    <t>Untuk grading second-life</t>
  </si>
  <si>
    <t>Second-life module acquisition</t>
  </si>
  <si>
    <t>0,5–1,5 juta</t>
  </si>
  <si>
    <t>RFQ supplier battery bekas/recycler</t>
  </si>
  <si>
    <t>Tidak cukup dari internet</t>
  </si>
  <si>
    <t>Repackaging + testing</t>
  </si>
  <si>
    <t>0,3–1,5 juta</t>
  </si>
  <si>
    <t>RFQ lab/pack integrator</t>
  </si>
  <si>
    <t>Harus ada biaya testing safety</t>
  </si>
  <si>
    <t>EMS + protection + enclosure</t>
  </si>
  <si>
    <t>20–40%</t>
  </si>
  <si>
    <t>% battery+PCS</t>
  </si>
  <si>
    <t>Harus divalidasi vendor ESS</t>
  </si>
  <si>
    <t>Installed ESS cost target</t>
  </si>
  <si>
    <t>3–7 juta</t>
  </si>
  <si>
    <t>Rp/kWh installed</t>
  </si>
  <si>
    <t>BESS benchmark + assembly inference</t>
  </si>
  <si>
    <t>Inference</t>
  </si>
  <si>
    <t>BNEF/NREL + RFQ needed</t>
  </si>
  <si>
    <t>Pakai sebagai range awal, bukan angka final</t>
  </si>
  <si>
    <t>Revenue</t>
  </si>
  <si>
    <t>VoltBattery B2B selling price</t>
  </si>
  <si>
    <t>9–15 juta</t>
  </si>
  <si>
    <t>COGS + margin</t>
  </si>
  <si>
    <t>Market/WTP validation needed</t>
  </si>
  <si>
    <t>Harus dibandingkan harga motor/battery market</t>
  </si>
  <si>
    <t>Battery leasing</t>
  </si>
  <si>
    <t>250.000–500.000</t>
  </si>
  <si>
    <t>Rp/pack/month</t>
  </si>
  <si>
    <t>WTP survey/fleet interview</t>
  </si>
  <si>
    <t>Perlu survei pelanggan</t>
  </si>
  <si>
    <t>Swap subscription</t>
  </si>
  <si>
    <t>Rp/user/month</t>
  </si>
  <si>
    <t>Survey + competitor benchmarking</t>
  </si>
  <si>
    <t>Belum ada angka source publik kuat yang terverifikasi</t>
  </si>
  <si>
    <t>Pay-per-swap fee</t>
  </si>
  <si>
    <t>Rp/swap</t>
  </si>
  <si>
    <t>Pilot + WTP survey</t>
  </si>
  <si>
    <t>Harus berdasarkan daya jelajah, biaya bensin, dan tarif kompetitor</t>
  </si>
  <si>
    <t>VoltGrid maintenance contract</t>
  </si>
  <si>
    <t>RFQ O&amp;M / contract benchmark</t>
  </si>
  <si>
    <t>Bisa jadi revenue recurring</t>
  </si>
  <si>
    <t>VoltGrid installed system selling price</t>
  </si>
  <si>
    <t>Cost + margin</t>
  </si>
  <si>
    <t>BNEF/NREL + supplier quote needed</t>
  </si>
  <si>
    <t>Harus dibandingkan vendor ESS lokal</t>
  </si>
  <si>
    <t>Produksi</t>
  </si>
  <si>
    <t>Utilization rate produksi</t>
  </si>
  <si>
    <t>60–85%</t>
  </si>
  <si>
    <t>Actual output / capacity</t>
  </si>
  <si>
    <t>Harus dari trial production</t>
  </si>
  <si>
    <t>Yield rate assembly</t>
  </si>
  <si>
    <t>90–97%</t>
  </si>
  <si>
    <t>Good output / total output</t>
  </si>
  <si>
    <t>Harus dari QC data</t>
  </si>
  <si>
    <t>Hari kerja produksi</t>
  </si>
  <si>
    <t>22–26</t>
  </si>
  <si>
    <t>hari/bulan</t>
  </si>
  <si>
    <t>Calendar assumption</t>
  </si>
  <si>
    <t>Internal planning</t>
  </si>
  <si>
    <t>Bisa disesuaikan kalender kerja</t>
  </si>
  <si>
    <t>Output per line per hari</t>
  </si>
  <si>
    <t>unit/day</t>
  </si>
  <si>
    <t>Trial production</t>
  </si>
  <si>
    <t>Wajib diisi setelah proses assembly jelas</t>
  </si>
  <si>
    <t>Operasional</t>
  </si>
  <si>
    <t>Warranty claim rate</t>
  </si>
  <si>
    <t>% sales</t>
  </si>
  <si>
    <t>Claim / unit sold</t>
  </si>
  <si>
    <t>Field data</t>
  </si>
  <si>
    <t>Tidak valid tanpa data lapangan</t>
  </si>
  <si>
    <t>Battery degradation actual</t>
  </si>
  <si>
    <t>%/cycle atau %/year</t>
  </si>
  <si>
    <t>Field degradation</t>
  </si>
  <si>
    <t>Lab/pilot data</t>
  </si>
  <si>
    <t>Benchmark boleh, tapi aktual harus diuji</t>
  </si>
  <si>
    <t>Downtime station</t>
  </si>
  <si>
    <t>% uptime</t>
  </si>
  <si>
    <t>downtime / total operating hours</t>
  </si>
  <si>
    <t>Pilot station</t>
  </si>
  <si>
    <t>Kunci untuk SLA dan revenue loss</t>
  </si>
  <si>
    <t>Theft/loss rate battery</t>
  </si>
  <si>
    <t>% battery pool/year</t>
  </si>
  <si>
    <t>lost battery / pool</t>
  </si>
  <si>
    <t>Field data + security design</t>
  </si>
  <si>
    <t>Tidak boleh dikarang</t>
  </si>
  <si>
    <t>Insurance/safety cost</t>
  </si>
  <si>
    <t>Rp/year</t>
  </si>
  <si>
    <t>Insurance quotation</t>
  </si>
  <si>
    <t>Penting jika ada asset pool besar</t>
  </si>
  <si>
    <t>Produk</t>
  </si>
  <si>
    <t>Subsystem</t>
  </si>
  <si>
    <t>Assembly / Modul</t>
  </si>
  <si>
    <t>Komponen Lebih Kecil</t>
  </si>
  <si>
    <t>Komponen Terkecil / Item Sourcing</t>
  </si>
  <si>
    <t>Fungsi</t>
  </si>
  <si>
    <t>Status Validitas</t>
  </si>
  <si>
    <t>Qty per Unit</t>
  </si>
  <si>
    <t>Unit Price (USD)</t>
  </si>
  <si>
    <t>Total Cost (USD)</t>
  </si>
  <si>
    <t>Supplier</t>
  </si>
  <si>
    <t>Validation Status</t>
  </si>
  <si>
    <t>Battery core</t>
  </si>
  <si>
    <t>Cell module</t>
  </si>
  <si>
    <t>LFP cell</t>
  </si>
  <si>
    <t>Cell LFP cylindrical/prismatic/pouch, cell holder, cell spacer</t>
  </si>
  <si>
    <t>Menyimpan energi utama</t>
  </si>
  <si>
    <t>Document-based + [Perlu Validasi vendor]</t>
  </si>
  <si>
    <t>24 cells</t>
  </si>
  <si>
    <t>CATL / EVE Energy / BYD</t>
  </si>
  <si>
    <t>Alibaba LFP cells</t>
  </si>
  <si>
    <t>Cell grouping</t>
  </si>
  <si>
    <t>Konfigurasi seri-paralel, busbar cell, nickel strip/copper strip</t>
  </si>
  <si>
    <t>Membentuk tegangan dan kapasitas pack</t>
  </si>
  <si>
    <t>[Inference]</t>
  </si>
  <si>
    <t>1 set</t>
  </si>
  <si>
    <t>Internal assembly</t>
  </si>
  <si>
    <t>Internal labor</t>
  </si>
  <si>
    <t>Cell interconnection</t>
  </si>
  <si>
    <t>Busbar system</t>
  </si>
  <si>
    <t>Copper busbar, nickel strip, weld point, insulating washer</t>
  </si>
  <si>
    <t>Mengalirkan arus antar-cell</t>
  </si>
  <si>
    <t>China busbar supplier</t>
  </si>
  <si>
    <t>Alibaba busbar</t>
  </si>
  <si>
    <t>Welding system</t>
  </si>
  <si>
    <t>Cell welding interface</t>
  </si>
  <si>
    <t>Spot weld/nickel strip, laser weld point, weld tab</t>
  </si>
  <si>
    <t>Koneksi elektrik antar-cell</t>
  </si>
  <si>
    <t>[Perlu Validasi]</t>
  </si>
  <si>
    <t>Insulation layer</t>
  </si>
  <si>
    <t>Electrical insulation</t>
  </si>
  <si>
    <t>Fish paper, mica sheet, Kapton tape, PVC sleeve, separator pad</t>
  </si>
  <si>
    <t>Mencegah short circuit internal</t>
  </si>
  <si>
    <t>3M / generic</t>
  </si>
  <si>
    <t>Alibaba insulation</t>
  </si>
  <si>
    <t>Thermal layer</t>
  </si>
  <si>
    <t>Thermal management</t>
  </si>
  <si>
    <t>Thermal pad, gap filler, heat spreader, thermal foam</t>
  </si>
  <si>
    <t>Mengurangi hotspot</t>
  </si>
  <si>
    <t>Henkel / generic</t>
  </si>
  <si>
    <t>Alibaba thermal pad</t>
  </si>
  <si>
    <t>Battery electronics</t>
  </si>
  <si>
    <t>Smart BMS</t>
  </si>
  <si>
    <t>BMS PCB</t>
  </si>
  <si>
    <t>PCB board, MCU, analog front end, ADC, EEPROM/flash</t>
  </si>
  <si>
    <t>Otak proteksi dan monitoring baterai</t>
  </si>
  <si>
    <t>Document-based</t>
  </si>
  <si>
    <t>1 pcs</t>
  </si>
  <si>
    <t>JBD / Daly / JK BMS</t>
  </si>
  <si>
    <t>Alibaba 72V BMS</t>
  </si>
  <si>
    <t>Voltage sensing</t>
  </si>
  <si>
    <t>Voltage sense wire, balance wire, connector harness</t>
  </si>
  <si>
    <t>Membaca tegangan tiap cell group</t>
  </si>
  <si>
    <t>Document-based + [Inference]</t>
  </si>
  <si>
    <t>Generic harness</t>
  </si>
  <si>
    <t>Alibaba wire harness</t>
  </si>
  <si>
    <t>Current sensing</t>
  </si>
  <si>
    <t>Shunt resistor / Hall-effect current sensor</t>
  </si>
  <si>
    <t>Membaca arus charge/discharge</t>
  </si>
  <si>
    <t>Allegro / Melexis / generic</t>
  </si>
  <si>
    <t>Alibaba Hall sensor</t>
  </si>
  <si>
    <t>Temperature sensing</t>
  </si>
  <si>
    <t>NTC thermistor, temp probe, sensor wire</t>
  </si>
  <si>
    <t>Membaca suhu cell/pack</t>
  </si>
  <si>
    <t>3 pcs</t>
  </si>
  <si>
    <t>Generic NTC</t>
  </si>
  <si>
    <t>LCSC NTC thermistor</t>
  </si>
  <si>
    <t>Balancing circuit</t>
  </si>
  <si>
    <t>Passive balance resistor, MOSFET, balance IC</t>
  </si>
  <si>
    <t>Menyeimbangkan cell</t>
  </si>
  <si>
    <t>Included in BMS</t>
  </si>
  <si>
    <t>Protection circuit</t>
  </si>
  <si>
    <t>Overcurrent/short protection</t>
  </si>
  <si>
    <t>Fuse, breaker, MOSFET/contactor, pre-charge resistor</t>
  </si>
  <si>
    <t>Memutus arus saat fault</t>
  </si>
  <si>
    <t>Littelfuse / TE / generic</t>
  </si>
  <si>
    <t>Alibaba fuse/MOSFET</t>
  </si>
  <si>
    <t>Communication</t>
  </si>
  <si>
    <t>CAN/RS485 module</t>
  </si>
  <si>
    <t>CAN transceiver, RS485 transceiver, terminal connector</t>
  </si>
  <si>
    <t>Komunikasi ke motor/station/gateway</t>
  </si>
  <si>
    <t>MCP / Kvaser / generic</t>
  </si>
  <si>
    <t>Alibaba CAN module</t>
  </si>
  <si>
    <t>Battery ID</t>
  </si>
  <si>
    <t>Identity module</t>
  </si>
  <si>
    <t>QR code, RFID/NFC tag, unique serial number, secure ID chip</t>
  </si>
  <si>
    <t>Tracking aset baterai</t>
  </si>
  <si>
    <t>NFC tag + QR label</t>
  </si>
  <si>
    <t>Alibaba RFID/NFC</t>
  </si>
  <si>
    <t>Battery interface</t>
  </si>
  <si>
    <t>Power connector</t>
  </si>
  <si>
    <t>High-current connector</t>
  </si>
  <si>
    <t>Male/female DC connector, copper pin, anti-spark terminal</t>
  </si>
  <si>
    <t>Koneksi daya ke motor/station</t>
  </si>
  <si>
    <t>Anderson / Amphenol</t>
  </si>
  <si>
    <t>Alibaba DC connector</t>
  </si>
  <si>
    <t>Charging connector</t>
  </si>
  <si>
    <t>Charge port</t>
  </si>
  <si>
    <t>DC charge connector, locking pin, dust cap</t>
  </si>
  <si>
    <t>Interface charging</t>
  </si>
  <si>
    <t>XT60 / custom</t>
  </si>
  <si>
    <t>Alibaba charge port</t>
  </si>
  <si>
    <t>Signal connector</t>
  </si>
  <si>
    <t>Low-voltage connector</t>
  </si>
  <si>
    <t>CAN/RS485 pin, signal pin, waterproof plug</t>
  </si>
  <si>
    <t>Data dan kontrol</t>
  </si>
  <si>
    <t>Molex / JST / generic</t>
  </si>
  <si>
    <t>Alibaba signal conn</t>
  </si>
  <si>
    <t>Mechanical pack</t>
  </si>
  <si>
    <t>Outer enclosure</t>
  </si>
  <si>
    <t>Casing battery</t>
  </si>
  <si>
    <t>ABS/PC/metal casing, lid, base shell</t>
  </si>
  <si>
    <t>Proteksi mekanik baterai</t>
  </si>
  <si>
    <t>Custom mold / injection</t>
  </si>
  <si>
    <t>Alibaba ABS casing</t>
  </si>
  <si>
    <t>Sealing system</t>
  </si>
  <si>
    <t>Waterproofing</t>
  </si>
  <si>
    <t>Rubber gasket, silicone sealant, O-ring, vent plug</t>
  </si>
  <si>
    <t>Target IP65 / tahan air-debu</t>
  </si>
  <si>
    <t>Document-based + [Perlu Validasi]</t>
  </si>
  <si>
    <t>Generic gasket supplier</t>
  </si>
  <si>
    <t>Alibaba gasket/O-ring</t>
  </si>
  <si>
    <t>Handle system</t>
  </si>
  <si>
    <t>Carrying handle</t>
  </si>
  <si>
    <t>Handle grip, hinge, screw, reinforcement bracket</t>
  </si>
  <si>
    <t>Memudahkan swapping manual</t>
  </si>
  <si>
    <t>Custom / generic</t>
  </si>
  <si>
    <t>Alibaba handle</t>
  </si>
  <si>
    <t>Locking mechanism</t>
  </si>
  <si>
    <t>Mechanical lock</t>
  </si>
  <si>
    <t>Latch, spring, lock pin, keying structure</t>
  </si>
  <si>
    <t>Mengunci baterai di motor/station</t>
  </si>
  <si>
    <t>Custom latch/spring</t>
  </si>
  <si>
    <t>Alibaba lock mech</t>
  </si>
  <si>
    <t>Fastener</t>
  </si>
  <si>
    <t>Assembly hardware</t>
  </si>
  <si>
    <t>Screw, bolt, nut, washer, insert brass</t>
  </si>
  <si>
    <t>Merakit casing dan modul internal</t>
  </si>
  <si>
    <t>Generic hardware</t>
  </si>
  <si>
    <t>Alibaba fastener</t>
  </si>
  <si>
    <t>Safety</t>
  </si>
  <si>
    <t>Venting system</t>
  </si>
  <si>
    <t>Pressure relief</t>
  </si>
  <si>
    <t>Safety vent, flame-retardant mesh, pressure membrane</t>
  </si>
  <si>
    <t>Mengurangi risiko tekanan internal</t>
  </si>
  <si>
    <t>Custom vent</t>
  </si>
  <si>
    <t>Alibaba safety vent</t>
  </si>
  <si>
    <t>Fire resistance</t>
  </si>
  <si>
    <t>Flame retardant layer</t>
  </si>
  <si>
    <t>Flame-retardant plastic, mica barrier, insulation sheet</t>
  </si>
  <si>
    <t>Menghambat propagasi api</t>
  </si>
  <si>
    <t>Fire retardant supplier</t>
  </si>
  <si>
    <t>Alibaba FR material</t>
  </si>
  <si>
    <t>Testing/QC</t>
  </si>
  <si>
    <t>End-of-line test</t>
  </si>
  <si>
    <t>QC instruments</t>
  </si>
  <si>
    <t>Capacity tester, IR tester, insulation tester, BMS test jig</t>
  </si>
  <si>
    <t>Validasi pack sebelum dikirim</t>
  </si>
  <si>
    <t>Internal / outsourced</t>
  </si>
  <si>
    <t>Amortized per unit</t>
  </si>
  <si>
    <t>Packaging</t>
  </si>
  <si>
    <t>Product packaging</t>
  </si>
  <si>
    <t>Shipping pack</t>
  </si>
  <si>
    <t>Foam insert, carton, label, safety manual, UN label</t>
  </si>
  <si>
    <t>Distribusi dan keamanan pengiriman</t>
  </si>
  <si>
    <t>Packaging supplier</t>
  </si>
  <si>
    <t>Alibaba packaging</t>
  </si>
  <si>
    <t>Data source</t>
  </si>
  <si>
    <t>Physical layer</t>
  </si>
  <si>
    <t>Battery data</t>
  </si>
  <si>
    <t>Battery ID, SoC, SoH, voltage, current, temperature, fault code</t>
  </si>
  <si>
    <t>Input utama sistem</t>
  </si>
  <si>
    <t>per station</t>
  </si>
  <si>
    <t>BMS data feed</t>
  </si>
  <si>
    <t>Station data</t>
  </si>
  <si>
    <t>Slot telemetry</t>
  </si>
  <si>
    <t>Slot status, charger status, lock status, temperature, smoke/gas alert</t>
  </si>
  <si>
    <t>Monitoring station</t>
  </si>
  <si>
    <t>Station telemetry</t>
  </si>
  <si>
    <t>Included in gateway</t>
  </si>
  <si>
    <t>Vehicle data</t>
  </si>
  <si>
    <t>Motor interface</t>
  </si>
  <si>
    <t>Controller data, usage pattern, mileage, energy use</t>
  </si>
  <si>
    <t>Analisis operasi EV</t>
  </si>
  <si>
    <t>per vehicle</t>
  </si>
  <si>
    <t>Motor controller data</t>
  </si>
  <si>
    <t>Edge layer</t>
  </si>
  <si>
    <t>Smart BMS interface</t>
  </si>
  <si>
    <t>BMS data bridge</t>
  </si>
  <si>
    <t>CAN/RS485 parser, BMS protocol adapter</t>
  </si>
  <si>
    <t>Mengambil data dari battery pack</t>
  </si>
  <si>
    <t>Custom PCB / adapter</t>
  </si>
  <si>
    <t>Alibaba CAN/RS485</t>
  </si>
  <si>
    <t>IoT gateway</t>
  </si>
  <si>
    <t>Gateway hardware</t>
  </si>
  <si>
    <t>MCU/SBC, modem, SIM, antenna, power supply</t>
  </si>
  <si>
    <t>Kirim data ke cloud</t>
  </si>
  <si>
    <t>Raspberry Pi / ESP32 + 4G</t>
  </si>
  <si>
    <t>Alibaba IoT gateway</t>
  </si>
  <si>
    <t>Firmware</t>
  </si>
  <si>
    <t>Embedded software</t>
  </si>
  <si>
    <t>Data logger, protocol handler, OTA agent, watchdog</t>
  </si>
  <si>
    <t>Kontrol edge device</t>
  </si>
  <si>
    <t>Internal dev</t>
  </si>
  <si>
    <t>Dev cost (see VoltOS OPEX)</t>
  </si>
  <si>
    <t>Connectivity</t>
  </si>
  <si>
    <t>Local protocol</t>
  </si>
  <si>
    <t>CAN/RS485</t>
  </si>
  <si>
    <t>CAN transceiver, RS485 module, protocol frame</t>
  </si>
  <si>
    <t>Komunikasi lokal</t>
  </si>
  <si>
    <t>Generic CAN transceiver</t>
  </si>
  <si>
    <t>LCSC CAN module</t>
  </si>
  <si>
    <t>Internet protocol</t>
  </si>
  <si>
    <t>MQTT/HTTP/API</t>
  </si>
  <si>
    <t>MQTT broker client, HTTP client, TLS library</t>
  </si>
  <si>
    <t>Telemetry ke cloud</t>
  </si>
  <si>
    <t>1 license</t>
  </si>
  <si>
    <t>Eclipse Mosquitto / HiveMQ</t>
  </si>
  <si>
    <t>Open source</t>
  </si>
  <si>
    <t>FOSS / cloud cost</t>
  </si>
  <si>
    <t>Network access</t>
  </si>
  <si>
    <t>4G/WiFi/Ethernet</t>
  </si>
  <si>
    <t>SIM card, modem, router, antenna, LAN cable</t>
  </si>
  <si>
    <t>Koneksi internet</t>
  </si>
  <si>
    <t>Telkomsel / XL M2M</t>
  </si>
  <si>
    <t>Telkomsel M2M</t>
  </si>
  <si>
    <t>Cloud</t>
  </si>
  <si>
    <t>IoT ingestion</t>
  </si>
  <si>
    <t>Message broker</t>
  </si>
  <si>
    <t>MQTT broker, API gateway, event queue</t>
  </si>
  <si>
    <t>Menerima telemetry</t>
  </si>
  <si>
    <t>AWS / GCP</t>
  </si>
  <si>
    <t>Vantage AWS</t>
  </si>
  <si>
    <t>Time-series data</t>
  </si>
  <si>
    <t>Database</t>
  </si>
  <si>
    <t>Time-series DB, relational DB, object storage</t>
  </si>
  <si>
    <t>Menyimpan data historis</t>
  </si>
  <si>
    <t>InfluxDB / TimescaleDB</t>
  </si>
  <si>
    <t>AWS RDS pricing</t>
  </si>
  <si>
    <t>Data processing</t>
  </si>
  <si>
    <t>Stream/batch processing</t>
  </si>
  <si>
    <t>Data cleaning, validation, aggregation pipeline</t>
  </si>
  <si>
    <t>Mengolah data operasional</t>
  </si>
  <si>
    <t>1 pipeline</t>
  </si>
  <si>
    <t>Dev cost</t>
  </si>
  <si>
    <t>Analytics</t>
  </si>
  <si>
    <t>SoH/SoC analytics</t>
  </si>
  <si>
    <t>Rule-based grading, ML model, feature engineering</t>
  </si>
  <si>
    <t>Menentukan grade battery</t>
  </si>
  <si>
    <t>1 module</t>
  </si>
  <si>
    <t>AI/ML</t>
  </si>
  <si>
    <t>Prediction model</t>
  </si>
  <si>
    <t>Model training, validation set, confidence interval</t>
  </si>
  <si>
    <t>Prediksi degradasi</t>
  </si>
  <si>
    <t>Internal dev / AutoML</t>
  </si>
  <si>
    <t>Dev cost + [Perlu Validasi]</t>
  </si>
  <si>
    <t>Application</t>
  </si>
  <si>
    <t>Admin dashboard</t>
  </si>
  <si>
    <t>Web interface</t>
  </si>
  <si>
    <t>Fleet map, battery table, station status, alert panel</t>
  </si>
  <si>
    <t>Monitoring operator</t>
  </si>
  <si>
    <t>1 app</t>
  </si>
  <si>
    <t>Dev cost (see Master Input)</t>
  </si>
  <si>
    <t>Mobile app user</t>
  </si>
  <si>
    <t>User interface</t>
  </si>
  <si>
    <t>Login, scan QR, swap status, payment, history</t>
  </si>
  <si>
    <t>Layanan pengguna akhir</t>
  </si>
  <si>
    <t>Operator console</t>
  </si>
  <si>
    <t>Operations interface</t>
  </si>
  <si>
    <t>Maintenance ticket, fault alert, station control</t>
  </si>
  <si>
    <t>Operasi teknisi/admin</t>
  </si>
  <si>
    <t>Security</t>
  </si>
  <si>
    <t>Identity and access</t>
  </si>
  <si>
    <t>Auth system</t>
  </si>
  <si>
    <t>User role, RBAC, OAuth/session token, password policy</t>
  </si>
  <si>
    <t>Kontrol akses</t>
  </si>
  <si>
    <t>Auth0 / Firebase Auth</t>
  </si>
  <si>
    <t>Firebase pricing</t>
  </si>
  <si>
    <t>FOSS / SaaS tier</t>
  </si>
  <si>
    <t>Device security</t>
  </si>
  <si>
    <t>Device certificate</t>
  </si>
  <si>
    <t>TLS cert, secure key, signed telemetry, anti-replay</t>
  </si>
  <si>
    <t>Mencegah spoofing Battery ID</t>
  </si>
  <si>
    <t>per device</t>
  </si>
  <si>
    <t>TLS cert provider</t>
  </si>
  <si>
    <t>Let's Encrypt / DigiCert</t>
  </si>
  <si>
    <t>Audit trail</t>
  </si>
  <si>
    <t>Event log</t>
  </si>
  <si>
    <t>Immutable log, timestamp, battery passport, handoff log</t>
  </si>
  <si>
    <t>Traceability lifecycle</t>
  </si>
  <si>
    <t>Integration</t>
  </si>
  <si>
    <t>External system</t>
  </si>
  <si>
    <t>API connector</t>
  </si>
  <si>
    <t>Payment API, ERP, logistics system, recycler system</t>
  </si>
  <si>
    <t>Integrasi ekosistem</t>
  </si>
  <si>
    <t>Stripe / Xendit</t>
  </si>
  <si>
    <t>Xendit pricing</t>
  </si>
  <si>
    <t>SaaS / transaction fee</t>
  </si>
  <si>
    <t>Reliability</t>
  </si>
  <si>
    <t>Offline mode</t>
  </si>
  <si>
    <t>Store-forward system</t>
  </si>
  <si>
    <t>Local cache, retry queue, conflict resolution</t>
  </si>
  <si>
    <t>Tetap aman saat internet mati</t>
  </si>
  <si>
    <t>Energy source</t>
  </si>
  <si>
    <t>PV input</t>
  </si>
  <si>
    <t>Solar PV array</t>
  </si>
  <si>
    <t>PV module, mounting rail, cable, MC4 connector</t>
  </si>
  <si>
    <t>Sumber energi terbarukan</t>
  </si>
  <si>
    <t>4 pcs</t>
  </si>
  <si>
    <t>JA Solar / LONGi / Trina</t>
  </si>
  <si>
    <t>Alibaba solar panel</t>
  </si>
  <si>
    <t>Optional generation</t>
  </si>
  <si>
    <t>Wind/hydro/genset</t>
  </si>
  <si>
    <t>Turbine/genset, rectifier/controller, AC/DC interface</t>
  </si>
  <si>
    <t>Sumber energi tambahan</t>
  </si>
  <si>
    <t>Honda / generic genset</t>
  </si>
  <si>
    <t>Alibaba genset</t>
  </si>
  <si>
    <t>Power conditioning</t>
  </si>
  <si>
    <t>MPPT</t>
  </si>
  <si>
    <t>Solar charge controller</t>
  </si>
  <si>
    <t>MPPT controller, DC breaker, surge protection</t>
  </si>
  <si>
    <t>Optimasi charging dari PV</t>
  </si>
  <si>
    <t>Victron / EPEver / Renogy</t>
  </si>
  <si>
    <t>Renogy MPPT</t>
  </si>
  <si>
    <t>Battery storage</t>
  </si>
  <si>
    <t>Second-life rack</t>
  </si>
  <si>
    <t>Grade B battery module</t>
  </si>
  <si>
    <t>Reused pack/module, rack tray, module connector</t>
  </si>
  <si>
    <t>Penyimpanan energi</t>
  </si>
  <si>
    <t>10 kWh</t>
  </si>
  <si>
    <t>VOLTLOOP second-life</t>
  </si>
  <si>
    <t>BNEF stationary storage</t>
  </si>
  <si>
    <t>Source-based (BNEF)</t>
  </si>
  <si>
    <t>Rack structure</t>
  </si>
  <si>
    <t>Battery rack</t>
  </si>
  <si>
    <t>Steel rack, tray, rail, clamp, fastener</t>
  </si>
  <si>
    <t>Menahan modul baterai</t>
  </si>
  <si>
    <t>Generic steel/welding</t>
  </si>
  <si>
    <t>Alibaba battery rack</t>
  </si>
  <si>
    <t>Battery integration</t>
  </si>
  <si>
    <t>DC bus system</t>
  </si>
  <si>
    <t>DC busbar, fuse, breaker, contactor, cable lug</t>
  </si>
  <si>
    <t>Menghubungkan modul ke inverter</t>
  </si>
  <si>
    <t>Generic busbar/fuse</t>
  </si>
  <si>
    <t>Alibaba DC busbar</t>
  </si>
  <si>
    <t>Battery management</t>
  </si>
  <si>
    <t>Rack BMS</t>
  </si>
  <si>
    <t>BMS/EMS interface</t>
  </si>
  <si>
    <t>BMS master, slave BMS, sensor harness</t>
  </si>
  <si>
    <t>Monitoring modul second-life</t>
  </si>
  <si>
    <t>Daly / JBD / Seplos</t>
  </si>
  <si>
    <t>Alibaba rack BMS</t>
  </si>
  <si>
    <t>Power conversion</t>
  </si>
  <si>
    <t>Inverter/charger</t>
  </si>
  <si>
    <t>Hybrid inverter</t>
  </si>
  <si>
    <t>DC/AC inverter, charger, transfer switch</t>
  </si>
  <si>
    <t>Mengubah DC ke AC dan charging</t>
  </si>
  <si>
    <t>Growatt / Deye / Victron</t>
  </si>
  <si>
    <t>Alibaba hybrid inverter</t>
  </si>
  <si>
    <t>PCS</t>
  </si>
  <si>
    <t>Power conversion system</t>
  </si>
  <si>
    <t>Inverter module, DC link capacitor, IGBT/MOSFET stage</t>
  </si>
  <si>
    <t>Konversi daya utama</t>
  </si>
  <si>
    <t>Per kW — NREL ATB</t>
  </si>
  <si>
    <t>NREL ATB 2024</t>
  </si>
  <si>
    <t>Source-based (NREL)</t>
  </si>
  <si>
    <t>Control</t>
  </si>
  <si>
    <t>EMS</t>
  </si>
  <si>
    <t>Energy management system</t>
  </si>
  <si>
    <t>Controller, load priority logic, dispatch algorithm</t>
  </si>
  <si>
    <t>Mengatur energi dan beban</t>
  </si>
  <si>
    <t>Custom / Schneider</t>
  </si>
  <si>
    <t>Alibaba EMS controller</t>
  </si>
  <si>
    <t>Protection</t>
  </si>
  <si>
    <t>DC protection</t>
  </si>
  <si>
    <t>DC safety panel</t>
  </si>
  <si>
    <t>DC MCB/fuse, SPD, isolator, contactor</t>
  </si>
  <si>
    <t>Proteksi sisi DC</t>
  </si>
  <si>
    <t>Schneider / ABB</t>
  </si>
  <si>
    <t>Alibaba DC panel</t>
  </si>
  <si>
    <t>AC protection</t>
  </si>
  <si>
    <t>AC distribution panel</t>
  </si>
  <si>
    <t>MCB, MCCB, relay, ELCB, grounding bar</t>
  </si>
  <si>
    <t>Proteksi sisi AC</t>
  </si>
  <si>
    <t>Schneider / ABB / Chint</t>
  </si>
  <si>
    <t>Alibaba AC panel</t>
  </si>
  <si>
    <t>Relay coordination</t>
  </si>
  <si>
    <t>Protection relay</t>
  </si>
  <si>
    <t>Over/under voltage relay, frequency relay, islanding relay</t>
  </si>
  <si>
    <t>Proteksi grid/microgrid</t>
  </si>
  <si>
    <t>ABB / Schneider relay</t>
  </si>
  <si>
    <t>Alibaba protection relay</t>
  </si>
  <si>
    <t>Monitoring</t>
  </si>
  <si>
    <t>Local monitoring</t>
  </si>
  <si>
    <t>HMI/display</t>
  </si>
  <si>
    <t>Meter, screen, local dashboard</t>
  </si>
  <si>
    <t>Monitoring lokal</t>
  </si>
  <si>
    <t>Generic meter/display</t>
  </si>
  <si>
    <t>Alibaba HMI display</t>
  </si>
  <si>
    <t>Remote monitoring</t>
  </si>
  <si>
    <t>Modem, SIM, antenna, edge gateway</t>
  </si>
  <si>
    <t>Monitoring jarak jauh</t>
  </si>
  <si>
    <t>Same as VoltOS gateway</t>
  </si>
  <si>
    <t>Load system</t>
  </si>
  <si>
    <t>Critical load</t>
  </si>
  <si>
    <t>Priority load panel</t>
  </si>
  <si>
    <t>Health center, communication, water pump connection</t>
  </si>
  <si>
    <t>Beban prioritas</t>
  </si>
  <si>
    <t>1 panel</t>
  </si>
  <si>
    <t>Local electrician</t>
  </si>
  <si>
    <t>Installation scope</t>
  </si>
  <si>
    <t>Essential load</t>
  </si>
  <si>
    <t>Domestic/community load</t>
  </si>
  <si>
    <t>Lighting, school, refrigeration, household load</t>
  </si>
  <si>
    <t>Beban umum 3T</t>
  </si>
  <si>
    <t>Local wiring</t>
  </si>
  <si>
    <t>Productive load</t>
  </si>
  <si>
    <t>Productive use</t>
  </si>
  <si>
    <t>Workshop, cold storage, agriculture load</t>
  </si>
  <si>
    <t>Beban ekonomi lokal</t>
  </si>
  <si>
    <t>Mechanical</t>
  </si>
  <si>
    <t>Enclosure/container</t>
  </si>
  <si>
    <t>ESS cabinet</t>
  </si>
  <si>
    <t>Outdoor cabinet/container, ventilation, lock, gasket</t>
  </si>
  <si>
    <t>Proteksi sistem ESS</t>
  </si>
  <si>
    <t>Custom / container</t>
  </si>
  <si>
    <t>Alibaba ESS cabinet</t>
  </si>
  <si>
    <t>Thermal/fire safety</t>
  </si>
  <si>
    <t>Safety package</t>
  </si>
  <si>
    <t>Smoke sensor, temp sensor, fire suppression, emergency stop</t>
  </si>
  <si>
    <t>Proteksi kebakaran</t>
  </si>
  <si>
    <t>Honeywell / Kidde</t>
  </si>
  <si>
    <t>Alibaba fire suppression</t>
  </si>
  <si>
    <t>Recycling Loop</t>
  </si>
  <si>
    <t>Collection</t>
  </si>
  <si>
    <t>Grade C collection</t>
  </si>
  <si>
    <t>Battery return</t>
  </si>
  <si>
    <t>Collection bin, pallet, label, quarantine area</t>
  </si>
  <si>
    <t>Mengumpulkan baterai akhir hidup</t>
  </si>
  <si>
    <t>Generic bins/pallets</t>
  </si>
  <si>
    <t>Tokopedia bins/pallets</t>
  </si>
  <si>
    <t>Safety handling</t>
  </si>
  <si>
    <t>Discharge process</t>
  </si>
  <si>
    <t>Safe discharge station</t>
  </si>
  <si>
    <t>Discharge resistor/load bank, voltage meter, insulated tool</t>
  </si>
  <si>
    <t>Mengosongkan energi sebelum proses</t>
  </si>
  <si>
    <t>Custom load bank</t>
  </si>
  <si>
    <t>Alibaba discharge load</t>
  </si>
  <si>
    <t>Quarantine</t>
  </si>
  <si>
    <t>Storage safety</t>
  </si>
  <si>
    <t>Fireproof cabinet, sand bucket/class D extinguisher, warning label</t>
  </si>
  <si>
    <t>Penyimpanan aman</t>
  </si>
  <si>
    <t>Eagle / Justrite</t>
  </si>
  <si>
    <t>Alibaba fireproof cabinet</t>
  </si>
  <si>
    <t>Dismantling</t>
  </si>
  <si>
    <t>Pack opening</t>
  </si>
  <si>
    <t>Disassembly tool</t>
  </si>
  <si>
    <t>Screwdriver, torque tool, insulated gloves, cutter, fixture</t>
  </si>
  <si>
    <t>Membongkar casing pack</t>
  </si>
  <si>
    <t>Generic tools</t>
  </si>
  <si>
    <t>Tokopedia tools</t>
  </si>
  <si>
    <t>Module separation</t>
  </si>
  <si>
    <t>Sorting tools</t>
  </si>
  <si>
    <t>Cell/module tray, barcode scanner, weighing scale</t>
  </si>
  <si>
    <t>Memisahkan komponen</t>
  </si>
  <si>
    <t>Scanner + scale</t>
  </si>
  <si>
    <t>Tokopedia scanner/scale</t>
  </si>
  <si>
    <t>Material recovery</t>
  </si>
  <si>
    <t>Black mass process</t>
  </si>
  <si>
    <t>Recycler interface</t>
  </si>
  <si>
    <t>Black mass, graphite, lithium compound, aluminium, copper</t>
  </si>
  <si>
    <t>per kg</t>
  </si>
  <si>
    <t>Certified recycler partner</t>
  </si>
  <si>
    <t>RFQ recycler needed</t>
  </si>
  <si>
    <t>Traceability</t>
  </si>
  <si>
    <t>Chain of custody</t>
  </si>
  <si>
    <t>Handoff evidence</t>
  </si>
  <si>
    <t>Battery passport, recycler receipt, material flow report</t>
  </si>
  <si>
    <t>Membuktikan circular economy</t>
  </si>
  <si>
    <t>per pack</t>
  </si>
  <si>
    <t>Internal / blockchain</t>
  </si>
  <si>
    <t>Partner system</t>
  </si>
  <si>
    <t>Certified recycler</t>
  </si>
  <si>
    <t>External partner</t>
  </si>
  <si>
    <t>Recycler permit, MoU, treatment cost, recovery yield</t>
  </si>
  <si>
    <t>Eksekusi recycle legal</t>
  </si>
  <si>
    <t>[Unverified]</t>
  </si>
  <si>
    <t>per batch</t>
  </si>
  <si>
    <t>TBD recycler partner</t>
  </si>
  <si>
    <t>[Unverified] — RFQ needed</t>
  </si>
  <si>
    <t>SUBTOTAL VoltBattery (per pack)</t>
  </si>
  <si>
    <t>SUBTOTAL VoltOS (per station hardware)</t>
  </si>
  <si>
    <t>SUBTOTAL VoltGrid (per 10kWh system)</t>
  </si>
  <si>
    <t>SUBTOTAL Recycling Loop (per facility)</t>
  </si>
  <si>
    <t>GRAND TOTAL (all categories)</t>
  </si>
  <si>
    <t>PROBLEM VALIDATION — 6 Root Causes</t>
  </si>
  <si>
    <t>Problem</t>
  </si>
  <si>
    <t>Quantified Stat</t>
  </si>
  <si>
    <t>Urgency</t>
  </si>
  <si>
    <t>Future Risk Projection</t>
  </si>
  <si>
    <t>01</t>
  </si>
  <si>
    <t>EV Battery Waste Crisis</t>
  </si>
  <si>
    <t>39 T IDR residual @ 13M batteries Y2030</t>
  </si>
  <si>
    <t>HIGH</t>
  </si>
  <si>
    <t>5-yr window before structural waste accumulates</t>
  </si>
  <si>
    <t>MEMR roadmap; ORF 2024</t>
  </si>
  <si>
    <t>02</t>
  </si>
  <si>
    <t>Logistics Electrification Bottleneck</t>
  </si>
  <si>
    <t>60% logistics use motors; 60–80 km/courier/day</t>
  </si>
  <si>
    <t>Battery = 30–50% TCO; charging downtime kills couriers</t>
  </si>
  <si>
    <t>ITDP Indonesia Aug 2025</t>
  </si>
  <si>
    <t>03</t>
  </si>
  <si>
    <t>Off-Grid Island Energy Inequality</t>
  </si>
  <si>
    <t>5,200 PLTD; 2.7 BL/yr diesel = Rp 33T</t>
  </si>
  <si>
    <t>Annual Rp 14T diesel cost burns each year of inaction</t>
  </si>
  <si>
    <t>IEEFA 2024; PLN</t>
  </si>
  <si>
    <t>04</t>
  </si>
  <si>
    <t>Battery Lifecycle Data Gap</t>
  </si>
  <si>
    <t>Tropical bat hits 55°C internal (r=0.83 ISR)</t>
  </si>
  <si>
    <t>MEDIUM</t>
  </si>
  <si>
    <t>EU Battery Passport mandate live 18 Feb 2027</t>
  </si>
  <si>
    <t>ScienceDirect 2026; EU Reg 2023/1542</t>
  </si>
  <si>
    <t>05</t>
  </si>
  <si>
    <t>Diesel Dependency Rural Indonesia</t>
  </si>
  <si>
    <t>PLN diesel cost Rp 8,748/kWh vs tariff Rp 1,500</t>
  </si>
  <si>
    <t>USD 11B annual PLN subsidy</t>
  </si>
  <si>
    <t>06</t>
  </si>
  <si>
    <t>Lack of Circular Battery Infrastructure</t>
  </si>
  <si>
    <t>Zero integrated 4-lifecycle player in ASEAN</t>
  </si>
  <si>
    <t>MEDIUM-HIGH</t>
  </si>
  <si>
    <t>Window closes once CATL/NIO integrate downstream</t>
  </si>
  <si>
    <t>Internal benchmark</t>
  </si>
  <si>
    <t>INFRASTRUCTURE GAP — Indonesia vs Benchmarks</t>
  </si>
  <si>
    <t>Country</t>
  </si>
  <si>
    <t>Swap Stations</t>
  </si>
  <si>
    <t>2nd Life Infra</t>
  </si>
  <si>
    <t>Battery Passport</t>
  </si>
  <si>
    <t>Cumulative Swaps</t>
  </si>
  <si>
    <t>China (NIO)</t>
  </si>
  <si>
    <t>CATL-Sinopec 500-site</t>
  </si>
  <si>
    <t>National std</t>
  </si>
  <si>
    <t>Taiwan (Gogoro)</t>
  </si>
  <si>
    <t>Limited</t>
  </si>
  <si>
    <t>Proprietary</t>
  </si>
  <si>
    <t>India (SUN/Battery Smart)</t>
  </si>
  <si>
    <t>Battery Smart 100M+</t>
  </si>
  <si>
    <t>EPR 2022</t>
  </si>
  <si>
    <t>Indonesia (TODAY)</t>
  </si>
  <si>
    <t>ZERO at scale</t>
  </si>
  <si>
    <t>ZERO</t>
  </si>
  <si>
    <t>VoltLoop Y5 target</t>
  </si>
  <si>
    <t>60 microgrids</t>
  </si>
  <si>
    <t>VoltLoop OS</t>
  </si>
  <si>
    <t>MARKET RESEARCH — Indonesia / ASEAN / Global</t>
  </si>
  <si>
    <t>INDONESIA MACRO INDICATORS</t>
  </si>
  <si>
    <t>Value</t>
  </si>
  <si>
    <t>Year</t>
  </si>
  <si>
    <t>Population</t>
  </si>
  <si>
    <t>M</t>
  </si>
  <si>
    <t>BPS</t>
  </si>
  <si>
    <t>Motorcycles in operation</t>
  </si>
  <si>
    <t>M units</t>
  </si>
  <si>
    <t>TYCORUN 2025</t>
  </si>
  <si>
    <t>2024 motorcycle sales</t>
  </si>
  <si>
    <t>MotorcyclesData</t>
  </si>
  <si>
    <t>2W EV market value</t>
  </si>
  <si>
    <t>USD M</t>
  </si>
  <si>
    <t>TYCORUN</t>
  </si>
  <si>
    <t>EV battery market 2025</t>
  </si>
  <si>
    <t>P&amp;S Intelligence</t>
  </si>
  <si>
    <t>EV battery market 2032</t>
  </si>
  <si>
    <t>Electrification ratio</t>
  </si>
  <si>
    <t>PLN Jan 2025</t>
  </si>
  <si>
    <t>PLN PLTD units</t>
  </si>
  <si>
    <t>PLN/IEEFA</t>
  </si>
  <si>
    <t>Annual PLTD diesel consumption</t>
  </si>
  <si>
    <t>B liters</t>
  </si>
  <si>
    <t>Last-mile motor share</t>
  </si>
  <si>
    <t>ITDP Aug 2025</t>
  </si>
  <si>
    <t>ADJACENT MARKETS — Size &amp; CAGR</t>
  </si>
  <si>
    <t>Market</t>
  </si>
  <si>
    <t>2025 Size</t>
  </si>
  <si>
    <t>2030/31 Size</t>
  </si>
  <si>
    <t>CAGR</t>
  </si>
  <si>
    <t>SEA Battery Swapping (USD B)</t>
  </si>
  <si>
    <t>Mordor Intelligence</t>
  </si>
  <si>
    <t>Global Battery Swap (USD B)</t>
  </si>
  <si>
    <t>Coherent Market Insights</t>
  </si>
  <si>
    <t>Second-life EV battery (USD B)</t>
  </si>
  <si>
    <t>MarketsandMarkets</t>
  </si>
  <si>
    <t>Battery-as-a-Service (USD B)</t>
  </si>
  <si>
    <t>Indonesia voluntary carbon (USD M cum)</t>
  </si>
  <si>
    <t>IEEFA Sep 2025</t>
  </si>
  <si>
    <t>Indonesia 2W EV (USD B)</t>
  </si>
  <si>
    <t>TYCORUN proj</t>
  </si>
  <si>
    <t>TAM / SAM / SOM — Indonesia &amp; ASEAN</t>
  </si>
  <si>
    <t>INDONESIA TAM 2030 BUILD-UP (IDR)</t>
  </si>
  <si>
    <t>Stream</t>
  </si>
  <si>
    <t>Customers</t>
  </si>
  <si>
    <t>ARPU/mo</t>
  </si>
  <si>
    <t>Months</t>
  </si>
  <si>
    <t>TAM 2030</t>
  </si>
  <si>
    <t>Method</t>
  </si>
  <si>
    <t>Swap Subscription</t>
  </si>
  <si>
    <t>B2B couriers x ARPU x 12 (50% adopt)</t>
  </si>
  <si>
    <t>Microgrid Subscription</t>
  </si>
  <si>
    <t>6,000 villages x 160 HH x ARPU x 12</t>
  </si>
  <si>
    <t>Battery-as-a-Service</t>
  </si>
  <si>
    <t>OEM B2B leases</t>
  </si>
  <si>
    <t>Carbon Credit</t>
  </si>
  <si>
    <t>tCO2 x USD 15-20</t>
  </si>
  <si>
    <t>Data SaaS / Passport</t>
  </si>
  <si>
    <t>OEM compliance + ESG SaaS</t>
  </si>
  <si>
    <t>TOTAL TAM 2030 (Indonesia)</t>
  </si>
  <si>
    <t>SAM / SOM (Indonesia)</t>
  </si>
  <si>
    <t>Layer</t>
  </si>
  <si>
    <t>Definition</t>
  </si>
  <si>
    <t>% of TAM</t>
  </si>
  <si>
    <t>Indonesia total accessible 2030</t>
  </si>
  <si>
    <t>Reachable infrastructure footprint (35%)</t>
  </si>
  <si>
    <t>SOM Y5</t>
  </si>
  <si>
    <t>VoltLoop realistic capture (1.1% of SAM)</t>
  </si>
  <si>
    <t>ASEAN TAM 2035 (USD 3B = Rp 48T)</t>
  </si>
  <si>
    <t>Indonesia (existing)</t>
  </si>
  <si>
    <t>Philippines (Y3)</t>
  </si>
  <si>
    <t>Thailand+Vietnam+Malaysia</t>
  </si>
  <si>
    <t>TOTAL ASEAN 2035</t>
  </si>
  <si>
    <t>CUSTOMER SEGMENTS &amp; PERSONAS</t>
  </si>
  <si>
    <t>Persona</t>
  </si>
  <si>
    <t>Goals</t>
  </si>
  <si>
    <t>Frustrations</t>
  </si>
  <si>
    <t>Budget</t>
  </si>
  <si>
    <t>Decision Process</t>
  </si>
  <si>
    <t>WTP</t>
  </si>
  <si>
    <t>Logistics Co (J&amp;T, SiCepat, JNE, AnterAja)</t>
  </si>
  <si>
    <t>Lower last-mile OPEX; ESG</t>
  </si>
  <si>
    <t>Battery cost, charging downtime</t>
  </si>
  <si>
    <t>Rp 50–500B/yr OPEX</t>
  </si>
  <si>
    <t>COO + Sustainability, 4–6mo</t>
  </si>
  <si>
    <t>Rp 500K/motor/mo</t>
  </si>
  <si>
    <t>Fleet EV Operators (Electrum, Smoot, Volta)</t>
  </si>
  <si>
    <t>Battery turnover; network efficiency</t>
  </si>
  <si>
    <t>Tropical degradation, residual value</t>
  </si>
  <si>
    <t>Capex-heavy</t>
  </si>
  <si>
    <t>CEO+CFO direct</t>
  </si>
  <si>
    <t>Per-cycle swap fee</t>
  </si>
  <si>
    <t>PLN Regional Operators</t>
  </si>
  <si>
    <t>Cut diesel subsidy; electrification</t>
  </si>
  <si>
    <t>Tariff uniformity, financing gap</t>
  </si>
  <si>
    <t>State subsidy budget</t>
  </si>
  <si>
    <t>Wilayah Usaha + PPA tender</t>
  </si>
  <si>
    <t>USD 0.10-0.18/kWh</t>
  </si>
  <si>
    <t>Village Cooperatives (BUMDes)</t>
  </si>
  <si>
    <t>Affordable reliable electricity</t>
  </si>
  <si>
    <t>Capital, technician shortage</t>
  </si>
  <si>
    <t>Rp 50K–500K/HH/mo</t>
  </si>
  <si>
    <t>Village head + community</t>
  </si>
  <si>
    <t>Rp 50–150K/HH/mo</t>
  </si>
  <si>
    <t>Gov Agencies (MEMR, KLHK, Bappenas)</t>
  </si>
  <si>
    <t>Hit NDC 2030 targets</t>
  </si>
  <si>
    <t>Implementation gap</t>
  </si>
  <si>
    <t>Rp 61 T state budget</t>
  </si>
  <si>
    <t>Multi-ministry</t>
  </si>
  <si>
    <t>Co-finance 30–50%</t>
  </si>
  <si>
    <t>Battery OEMs (CATL, LG, HLI Green Power)</t>
  </si>
  <si>
    <t>TKDN compliance; EU circular</t>
  </si>
  <si>
    <t>No domestic recycling/passport</t>
  </si>
  <si>
    <t>Capex 1–5% revenue</t>
  </si>
  <si>
    <t>Strategic partnership</t>
  </si>
  <si>
    <t>Passport fee + tipping fee</t>
  </si>
  <si>
    <t>07</t>
  </si>
  <si>
    <t>Climate Finance (ADB, GCF, USAID, ICCTF)</t>
  </si>
  <si>
    <t>Deploy USD 200M GCF Fund</t>
  </si>
  <si>
    <t>Bankable pipeline gap</t>
  </si>
  <si>
    <t>USD 1–50M tickets</t>
  </si>
  <si>
    <t>6–18mo DD</t>
  </si>
  <si>
    <t>SOFR + 100-200bp</t>
  </si>
  <si>
    <t>COMPETITOR BENCHMARKING</t>
  </si>
  <si>
    <t>Company</t>
  </si>
  <si>
    <t>1st Life Swap</t>
  </si>
  <si>
    <t>2nd Life</t>
  </si>
  <si>
    <t>Recovery</t>
  </si>
  <si>
    <t>Passport</t>
  </si>
  <si>
    <t>Tropical Data</t>
  </si>
  <si>
    <t>Indo-native</t>
  </si>
  <si>
    <t>Valuation/Round</t>
  </si>
  <si>
    <t>VoltLoop (ours)</t>
  </si>
  <si>
    <t>B2B</t>
  </si>
  <si>
    <t>Core</t>
  </si>
  <si>
    <t>Roadmap</t>
  </si>
  <si>
    <t>Native</t>
  </si>
  <si>
    <t>YES</t>
  </si>
  <si>
    <t>Seeking Series A Rp 15-30M</t>
  </si>
  <si>
    <t>voltloop.id (internal)</t>
  </si>
  <si>
    <t>Gogoro (NASDAQ:GGR)</t>
  </si>
  <si>
    <t>B2C</t>
  </si>
  <si>
    <t>Partner only</t>
  </si>
  <si>
    <t>$2.35B SPAC 2022</t>
  </si>
  <si>
    <t>Gogoro IR</t>
  </si>
  <si>
    <t>Swap Energy Indonesia</t>
  </si>
  <si>
    <t>$22M @ $76M post-money Jan 2024</t>
  </si>
  <si>
    <t>Swap Energy</t>
  </si>
  <si>
    <t>Electrum (TBS-GoTo JV)</t>
  </si>
  <si>
    <t>B2C/ride-hail</t>
  </si>
  <si>
    <t>$15M ADB+ACFP+DBS Dec 2024</t>
  </si>
  <si>
    <t>Electrum / TBS Energi</t>
  </si>
  <si>
    <t>SUN Mobility India</t>
  </si>
  <si>
    <t>B2B 2W/3W</t>
  </si>
  <si>
    <t>India tropical</t>
  </si>
  <si>
    <t>$135M cumul, Helios/PIDG 2025</t>
  </si>
  <si>
    <t>SUN Mobility</t>
  </si>
  <si>
    <t>Connected Energy UK</t>
  </si>
  <si>
    <t>In dev</t>
  </si>
  <si>
    <t>£15M (Caterpillar/Hinduja/Volvo)</t>
  </si>
  <si>
    <t>Tesla Energy</t>
  </si>
  <si>
    <t>Utility</t>
  </si>
  <si>
    <t>Yes</t>
  </si>
  <si>
    <t>Public</t>
  </si>
  <si>
    <t>08</t>
  </si>
  <si>
    <t>CATL (Chocolate Battery)</t>
  </si>
  <si>
    <t>China only</t>
  </si>
  <si>
    <t>Plant only</t>
  </si>
  <si>
    <t>CATL</t>
  </si>
  <si>
    <t>09</t>
  </si>
  <si>
    <t>NIO Power Swap</t>
  </si>
  <si>
    <t>B2C/B2B</t>
  </si>
  <si>
    <t>70M cumul swaps Apr 2025</t>
  </si>
  <si>
    <t>NIO Power</t>
  </si>
  <si>
    <t>PORTER'S FIVE FORCES</t>
  </si>
  <si>
    <t>Force</t>
  </si>
  <si>
    <t>Intensity</t>
  </si>
  <si>
    <t>Rationale</t>
  </si>
  <si>
    <t>New Entry</t>
  </si>
  <si>
    <t>Grand View Research</t>
  </si>
  <si>
    <t>Supplier Power</t>
  </si>
  <si>
    <t>Med-High</t>
  </si>
  <si>
    <t>SNE Research (CnEVPost)</t>
  </si>
  <si>
    <t>Buyer Power</t>
  </si>
  <si>
    <t>ITDP Indonesia</t>
  </si>
  <si>
    <t>Substitutes</t>
  </si>
  <si>
    <t>MDPI (Open Access)</t>
  </si>
  <si>
    <t>Rivalry</t>
  </si>
  <si>
    <t>ScienceDirect</t>
  </si>
  <si>
    <t>TECHNOLOGY &amp; PRODUCT STACK</t>
  </si>
  <si>
    <t>Layer Name</t>
  </si>
  <si>
    <t>Component</t>
  </si>
  <si>
    <t>Description</t>
  </si>
  <si>
    <t>Vendor/Tool</t>
  </si>
  <si>
    <t>TKDN %</t>
  </si>
  <si>
    <t>Hardware</t>
  </si>
  <si>
    <t>Battery Swap Cabinet</t>
  </si>
  <si>
    <t>6-12 slot modular, IP54, IoT</t>
  </si>
  <si>
    <t>In-house + OEM partner</t>
  </si>
  <si>
    <t>Microgrid BESS Container</t>
  </si>
  <si>
    <t>50-100 kWh 2nd-life + 30 kWp PV + hybrid inverter</t>
  </si>
  <si>
    <t>Mixed</t>
  </si>
  <si>
    <t>BMS</t>
  </si>
  <si>
    <t>Multi-Chemistry BMS</t>
  </si>
  <si>
    <t>NMC + LFP; tropical thermal mgmt</t>
  </si>
  <si>
    <t>In-house + Sungrow</t>
  </si>
  <si>
    <t>Grading</t>
  </si>
  <si>
    <t>Battery Grading Lab</t>
  </si>
  <si>
    <t>EIS + capacity + thermal stress</t>
  </si>
  <si>
    <t>In-house + Maccor/Arbin</t>
  </si>
  <si>
    <t>L4</t>
  </si>
  <si>
    <t>Tropical Degradation Model</t>
  </si>
  <si>
    <t>Trained on 100K+ swap cycles + climate</t>
  </si>
  <si>
    <t>In-house PyTorch/XGBoost</t>
  </si>
  <si>
    <t>L5</t>
  </si>
  <si>
    <t>VoltLoop OS Platform</t>
  </si>
  <si>
    <t>AWS-hosted; LoRaWAN + 4G edge</t>
  </si>
  <si>
    <t>AWS (Singapore region)</t>
  </si>
  <si>
    <t>L6</t>
  </si>
  <si>
    <t>Compliance</t>
  </si>
  <si>
    <t>EU 2023/1542 Passport</t>
  </si>
  <si>
    <t>UUID + QR + carbon footprint</t>
  </si>
  <si>
    <t>In-house</t>
  </si>
  <si>
    <t>L7</t>
  </si>
  <si>
    <t>Data SaaS</t>
  </si>
  <si>
    <t>OEM Dashboard</t>
  </si>
  <si>
    <t>Battery health + residual value + MRV</t>
  </si>
  <si>
    <t>In-house Next.js</t>
  </si>
  <si>
    <t>R&amp;D ROADMAP</t>
  </si>
  <si>
    <t>Milestone</t>
  </si>
  <si>
    <t>Grading lab MVP; 1 swap hub pilot; BMS prototype</t>
  </si>
  <si>
    <t>AI tropical degradation model v1 (10K+ cycles); 5 hubs + 2 microgrids</t>
  </si>
  <si>
    <t>Battery passport beta; predictive maintenance live</t>
  </si>
  <si>
    <t>Material recovery pilot (Ni/Co/Li resale)</t>
  </si>
  <si>
    <t>ASEAN-compliant battery passport platform; OEM API marketplace</t>
  </si>
  <si>
    <t>PRICING STRATEGY &amp; BENCHMARKS</t>
  </si>
  <si>
    <t>PRICING BENCHMARKS</t>
  </si>
  <si>
    <t>Benchmark Player</t>
  </si>
  <si>
    <t>Benchmark Price</t>
  </si>
  <si>
    <t>VoltLoop Price</t>
  </si>
  <si>
    <t>Discount/Premium</t>
  </si>
  <si>
    <t>Smoot Indonesia</t>
  </si>
  <si>
    <t>B2B volume discount; long-term contract</t>
  </si>
  <si>
    <t>Gogoro Taiwan</t>
  </si>
  <si>
    <t>Indo income parity adjustment</t>
  </si>
  <si>
    <t>MENTARI ADB Sumba</t>
  </si>
  <si>
    <t>Premium for 24/7 reliability</t>
  </si>
  <si>
    <t>PLN Tariff R1</t>
  </si>
  <si>
    <t>N/A</t>
  </si>
  <si>
    <t>Per-kWh equivalent</t>
  </si>
  <si>
    <t>BaaS bundled</t>
  </si>
  <si>
    <t>NIO BaaS subscription</t>
  </si>
  <si>
    <t>Sized for ID middle income</t>
  </si>
  <si>
    <t>Passport SaaS</t>
  </si>
  <si>
    <t>Tier 2 OEM pricing</t>
  </si>
  <si>
    <t>PRICING POWER LEVERS</t>
  </si>
  <si>
    <t>Lever</t>
  </si>
  <si>
    <t>Mechanism</t>
  </si>
  <si>
    <t>Pricing Impact</t>
  </si>
  <si>
    <t>Implementation</t>
  </si>
  <si>
    <t>Network effect</t>
  </si>
  <si>
    <t>More hubs = more couriers = denser coverage</t>
  </si>
  <si>
    <t>+10% Y3+</t>
  </si>
  <si>
    <t>Geographic clustering</t>
  </si>
  <si>
    <t>Data moat</t>
  </si>
  <si>
    <t>Tropical degradation predictions = OEM stickiness</t>
  </si>
  <si>
    <t>+25% Y4+</t>
  </si>
  <si>
    <t>Carbon arbitrage</t>
  </si>
  <si>
    <t>IDXCarbon Rp 96K → voluntary USD 12</t>
  </si>
  <si>
    <t>+15-30% by Y5</t>
  </si>
  <si>
    <t>MRV-grade methodology</t>
  </si>
  <si>
    <t>Regulatory bundle</t>
  </si>
  <si>
    <t>TKDN compliance + EU passport readiness</t>
  </si>
  <si>
    <t>+20% OEM contracts</t>
  </si>
  <si>
    <t>Strategic partnerships</t>
  </si>
  <si>
    <t>Multi-tier pricing</t>
  </si>
  <si>
    <t>Volume tiers @ 100/500/1000 motors</t>
  </si>
  <si>
    <t>Defends margin</t>
  </si>
  <si>
    <t>Y2+</t>
  </si>
  <si>
    <t>REVENUE MODEL — 5-Year Build (Active Scenario)</t>
  </si>
  <si>
    <t>5Y CAGR</t>
  </si>
  <si>
    <t>Utilization Ramp Multiplier</t>
  </si>
  <si>
    <t>1. SWAP SUBSCRIPTION</t>
  </si>
  <si>
    <t>Active Hubs</t>
  </si>
  <si>
    <t>Couriers per Hub</t>
  </si>
  <si>
    <t>Total Couriers Served</t>
  </si>
  <si>
    <t>Hub Utilization %</t>
  </si>
  <si>
    <t>Avg Subscription Price/mo</t>
  </si>
  <si>
    <t>Swap Revenue</t>
  </si>
  <si>
    <t>2. MICROGRID SUBSCRIPTION</t>
  </si>
  <si>
    <t>Homes per Microgrid</t>
  </si>
  <si>
    <t>Total Households Served</t>
  </si>
  <si>
    <t>Microgrid Uptime</t>
  </si>
  <si>
    <t>Avg Microgrid Price/HH/mo</t>
  </si>
  <si>
    <t>Microgrid Revenue</t>
  </si>
  <si>
    <t>3. BATTERY-AS-A-SERVICE (BaaS)</t>
  </si>
  <si>
    <t>BaaS Penetration % of Couriers</t>
  </si>
  <si>
    <t>BaaS Customers</t>
  </si>
  <si>
    <t>BaaS ARPU/mo (price uplift)</t>
  </si>
  <si>
    <t>BaaS Revenue</t>
  </si>
  <si>
    <t>4. CARBON CREDIT MONETIZATION</t>
  </si>
  <si>
    <t>Carbon Price (IDR/tCO2)</t>
  </si>
  <si>
    <t>Monetization Rate</t>
  </si>
  <si>
    <t>Carbon Revenue</t>
  </si>
  <si>
    <t>5. DATA PLATFORM / BATTERY PASSPORT SaaS</t>
  </si>
  <si>
    <t>Batteries on Platform</t>
  </si>
  <si>
    <t>Passport ARPU (IDR/battery/yr)</t>
  </si>
  <si>
    <t>Platform Adoption %</t>
  </si>
  <si>
    <t>Passport SaaS Revenue</t>
  </si>
  <si>
    <t>6. OEM ANALYTICS API</t>
  </si>
  <si>
    <t>OEM Customers</t>
  </si>
  <si>
    <t>OEM ARPU (IDR/yr)</t>
  </si>
  <si>
    <t>OEM API Revenue</t>
  </si>
  <si>
    <t>7. RECYCLING REVENUE</t>
  </si>
  <si>
    <t>Material Recovery Revenue</t>
  </si>
  <si>
    <t>8. OTHER (Govt EPC, ESG Consulting)</t>
  </si>
  <si>
    <t>Other Revenue</t>
  </si>
  <si>
    <t>TOTAL REVENUE</t>
  </si>
  <si>
    <t>REVENUE MIX (Y5)</t>
  </si>
  <si>
    <t>Swap</t>
  </si>
  <si>
    <t>Microgrid</t>
  </si>
  <si>
    <t>BaaS</t>
  </si>
  <si>
    <t>Carbon</t>
  </si>
  <si>
    <t>OEM API</t>
  </si>
  <si>
    <t>Recycling</t>
  </si>
  <si>
    <t>Other</t>
  </si>
  <si>
    <t>SWAP HUB UNIT ECONOMICS</t>
  </si>
  <si>
    <t>Scenario:</t>
  </si>
  <si>
    <t>Capex</t>
  </si>
  <si>
    <t>Couriers per hub</t>
  </si>
  <si>
    <t>couriers</t>
  </si>
  <si>
    <t>Hub utilization</t>
  </si>
  <si>
    <t>Subscription price /mo</t>
  </si>
  <si>
    <t>Monthly Revenue (Couriers × Price × Util)</t>
  </si>
  <si>
    <t>Electricity cost /mo</t>
  </si>
  <si>
    <t>Lease /mo</t>
  </si>
  <si>
    <t>Maintenance /mo</t>
  </si>
  <si>
    <t>Ops staff /mo</t>
  </si>
  <si>
    <t>Total Monthly OPEX</t>
  </si>
  <si>
    <t>Monthly EBITDA</t>
  </si>
  <si>
    <t>Annual EBITDA</t>
  </si>
  <si>
    <t>Payback Period</t>
  </si>
  <si>
    <t>months</t>
  </si>
  <si>
    <t>Hub IRR (10-yr DCF)</t>
  </si>
  <si>
    <t>Breakeven Utilization</t>
  </si>
  <si>
    <t>ACTIVE SCENARIO HIGHLIGHTS</t>
  </si>
  <si>
    <t>Capex per hub</t>
  </si>
  <si>
    <t>Payback (months)</t>
  </si>
  <si>
    <t>Hub IRR</t>
  </si>
  <si>
    <t>Breakeven Util</t>
  </si>
  <si>
    <t>MICROGRID UNIT ECONOMICS (per 160-HH unit)</t>
  </si>
  <si>
    <t>Capex (BESS + PV + BOS + install)</t>
  </si>
  <si>
    <t>Homes per unit</t>
  </si>
  <si>
    <t>HH</t>
  </si>
  <si>
    <t>Subscription price /HH/mo</t>
  </si>
  <si>
    <t>Uptime</t>
  </si>
  <si>
    <t>Monthly Revenue (subscription)</t>
  </si>
  <si>
    <t>O&amp;M /mo</t>
  </si>
  <si>
    <t>Diesel offset O&amp;M savings (negative=savings)</t>
  </si>
  <si>
    <t>Insurance /mo</t>
  </si>
  <si>
    <t>Carbon credit revenue /mo</t>
  </si>
  <si>
    <t>Net Monthly OPEX (cost only)</t>
  </si>
  <si>
    <t>Monthly EBITDA (incl carbon)</t>
  </si>
  <si>
    <t>mo</t>
  </si>
  <si>
    <t>Microgrid IRR (15-yr)</t>
  </si>
  <si>
    <t>LCOE</t>
  </si>
  <si>
    <t>Payback</t>
  </si>
  <si>
    <t>Microgrid IRR</t>
  </si>
  <si>
    <t>BATTERY LIFECYCLE WATERFALL — Per Unit Economics</t>
  </si>
  <si>
    <t>Stage</t>
  </si>
  <si>
    <t>Years</t>
  </si>
  <si>
    <t>Cost</t>
  </si>
  <si>
    <t>Net Cash</t>
  </si>
  <si>
    <t>ROI Layer</t>
  </si>
  <si>
    <t>0</t>
  </si>
  <si>
    <t>Acquisition</t>
  </si>
  <si>
    <t>Y0</t>
  </si>
  <si>
    <t>Battery purchase @ Base Case</t>
  </si>
  <si>
    <t>1</t>
  </si>
  <si>
    <t>First Life — Swap</t>
  </si>
  <si>
    <t>Y1-Y3</t>
  </si>
  <si>
    <t>B2B courier subscription</t>
  </si>
  <si>
    <t>1b</t>
  </si>
  <si>
    <t>Refurb / Re-grade</t>
  </si>
  <si>
    <t>Grading lab pass-through</t>
  </si>
  <si>
    <t>2</t>
  </si>
  <si>
    <t>Second Life — Microgrid</t>
  </si>
  <si>
    <t>Y4-Y8</t>
  </si>
  <si>
    <t>Off-grid village deployment</t>
  </si>
  <si>
    <t>3</t>
  </si>
  <si>
    <t>End-of-Life Recovery</t>
  </si>
  <si>
    <t>Y9</t>
  </si>
  <si>
    <t>Ni/Co/Li resale</t>
  </si>
  <si>
    <t>4</t>
  </si>
  <si>
    <t>Carbon Credits (cumul)</t>
  </si>
  <si>
    <t>Y1-Y9</t>
  </si>
  <si>
    <t>MRV-grade tCO2</t>
  </si>
  <si>
    <t>TOTAL</t>
  </si>
  <si>
    <t>LIFETIME</t>
  </si>
  <si>
    <t>Lifetime ROI vs acquisition</t>
  </si>
  <si>
    <t>NPV &amp; IRR ANALYSIS</t>
  </si>
  <si>
    <t>Y6</t>
  </si>
  <si>
    <t>Y7</t>
  </si>
  <si>
    <t>Y8</t>
  </si>
  <si>
    <t>Net Cash/Battery</t>
  </si>
  <si>
    <t>NPV (WACC link)</t>
  </si>
  <si>
    <t>IRR (battery lifetime)</t>
  </si>
  <si>
    <t>Note: Row 14 derived from waterfall above (G5:G9). Sum reconciles to lifetime Net Cash G10.</t>
  </si>
  <si>
    <t>OPERATIONAL KPI DASHBOARD (5-Year)</t>
  </si>
  <si>
    <t>VOLUME / DEPLOYMENT</t>
  </si>
  <si>
    <t>Assumptions</t>
  </si>
  <si>
    <t>Revenue Model</t>
  </si>
  <si>
    <t>Batteries Deployed</t>
  </si>
  <si>
    <t>OEM Customers (Data SaaS)</t>
  </si>
  <si>
    <t>UTILIZATION / EFFICIENCY</t>
  </si>
  <si>
    <t>Battery Utilization (swaps/day)</t>
  </si>
  <si>
    <t>Avg SoH on Platform</t>
  </si>
  <si>
    <t>Hub Operational Uptime</t>
  </si>
  <si>
    <t>FINANCIAL EFFICIENCY</t>
  </si>
  <si>
    <t>Customer Acquisition Cost (Rp jt)</t>
  </si>
  <si>
    <t>LTV / CAC</t>
  </si>
  <si>
    <t>Burn Multiple (Burn / Net New ARR)</t>
  </si>
  <si>
    <t>Runway (months)</t>
  </si>
  <si>
    <t>CARBON CREDIT MONETIZATION MODEL</t>
  </si>
  <si>
    <t>CO2 AVOIDED BY SOURCE (tons/year)</t>
  </si>
  <si>
    <t>Logistics fuel displacement</t>
  </si>
  <si>
    <t>Microgrid diesel displacement</t>
  </si>
  <si>
    <t>Second-life embodied savings</t>
  </si>
  <si>
    <t>Battery waste avoided (CO2-eq)</t>
  </si>
  <si>
    <t>CARBON REVENUE BUILD</t>
  </si>
  <si>
    <t>Total CO2 avoided (t)</t>
  </si>
  <si>
    <t>MRV-eligible %</t>
  </si>
  <si>
    <t>MRV-eligible CO2 (t)</t>
  </si>
  <si>
    <t>Avg Carbon Price (IDR/t)</t>
  </si>
  <si>
    <t>Carbon Revenue (IDR)</t>
  </si>
  <si>
    <t>CARBON PRICE SENSITIVITY (Y5 Revenue, IDR M)</t>
  </si>
  <si>
    <t>Carbon Price (IDR/t)</t>
  </si>
  <si>
    <t>Y5 Carbon Revenue</t>
  </si>
  <si>
    <t>ESG IMPACT DASHBOARD</t>
  </si>
  <si>
    <t>CO2 AVOIDED (tons/year)</t>
  </si>
  <si>
    <t>Couriers × 1.5 tCO2/yr (60km/day×2.3kg/L)</t>
  </si>
  <si>
    <t>HH × 0.085 tCO2/yr (50kWh/d diesel offset)</t>
  </si>
  <si>
    <t>0.5 tCO2/battery 2nd life uptake</t>
  </si>
  <si>
    <t>25 kg CO2-eq/battery landfill avoided</t>
  </si>
  <si>
    <t>TOTAL CO2 Avoided (t/yr)</t>
  </si>
  <si>
    <t>Energy Delivered (kWh/yr)</t>
  </si>
  <si>
    <t>SOCIAL IMPACT</t>
  </si>
  <si>
    <t>Couriers w/ Lower TCO</t>
  </si>
  <si>
    <t>Green Jobs Created (direct)</t>
  </si>
  <si>
    <t>Indirect Jobs (3x multiplier)</t>
  </si>
  <si>
    <t>MATERIAL RECOVERY</t>
  </si>
  <si>
    <t>Battery Waste Avoided (t/yr)</t>
  </si>
  <si>
    <t>SDG ALIGNMENT</t>
  </si>
  <si>
    <t>SDG 7</t>
  </si>
  <si>
    <t>Affordable &amp; Clean Energy</t>
  </si>
  <si>
    <t>9,600 HH electrified Y5; diesel-to-solar displacement</t>
  </si>
  <si>
    <t>SDG 9</t>
  </si>
  <si>
    <t>Industry, Innovation, Infrastructure</t>
  </si>
  <si>
    <t>Circular battery infrastructure; AI platform; passport</t>
  </si>
  <si>
    <t>SDG 11</t>
  </si>
  <si>
    <t>Sustainable Cities</t>
  </si>
  <si>
    <t>Last-mile logistics electrification; air quality</t>
  </si>
  <si>
    <t>SDG 12</t>
  </si>
  <si>
    <t>Responsible Consumption</t>
  </si>
  <si>
    <t>3-life battery model; 220t/yr waste avoided</t>
  </si>
  <si>
    <t>SDG 13</t>
  </si>
  <si>
    <t>Climate Action</t>
  </si>
  <si>
    <t>45,000t CO2 Y5; NDC 31.89% by 2030 contribution</t>
  </si>
  <si>
    <t>CAPEX SCHEDULE (5-Year, Active Scenario)</t>
  </si>
  <si>
    <t>5-Yr Total</t>
  </si>
  <si>
    <t>CAPEX BY CATEGORY</t>
  </si>
  <si>
    <t>Swap Hub Capex</t>
  </si>
  <si>
    <t>Microgrid Capex</t>
  </si>
  <si>
    <t>Diagnostic &amp; Grading Lab</t>
  </si>
  <si>
    <t>Software / Platform Dev</t>
  </si>
  <si>
    <t>Other (vehicles, equipment)</t>
  </si>
  <si>
    <t>TOTAL CAPEX</t>
  </si>
  <si>
    <t>DEPRECIATION SCHEDULE (Straight Line, per category)</t>
  </si>
  <si>
    <t>Useful Life Hub (yrs)</t>
  </si>
  <si>
    <t>Useful Life MG (yrs)</t>
  </si>
  <si>
    <t>Useful Life Lab (yrs)</t>
  </si>
  <si>
    <t>Useful Life Software (yrs)</t>
  </si>
  <si>
    <t>Useful Life Other (yrs)</t>
  </si>
  <si>
    <t>Annual Depreciation</t>
  </si>
  <si>
    <t>5-YEAR P&amp;L PROJECTION (Active Scenario)</t>
  </si>
  <si>
    <t>Break-Even Y</t>
  </si>
  <si>
    <t>REVENUE</t>
  </si>
  <si>
    <t>COGS (Cost of Revenue)</t>
  </si>
  <si>
    <t>Gross Margin %</t>
  </si>
  <si>
    <t>OPERATING EXPENSES</t>
  </si>
  <si>
    <t>Sales &amp; Marketing</t>
  </si>
  <si>
    <t>R&amp;D</t>
  </si>
  <si>
    <t>G&amp;A</t>
  </si>
  <si>
    <t>EBITDA Margin %</t>
  </si>
  <si>
    <t>D&amp;A</t>
  </si>
  <si>
    <t>Operating Income</t>
  </si>
  <si>
    <t>Interest Expense</t>
  </si>
  <si>
    <t>Tax (22%)</t>
  </si>
  <si>
    <t>NET INCOME</t>
  </si>
  <si>
    <t>Net Margin %</t>
  </si>
  <si>
    <t>OPEX RATIO ASSUMPTIONS (% of Revenue)</t>
  </si>
  <si>
    <t>Interest Rate (debt)</t>
  </si>
  <si>
    <t>CASH FLOW STATEMENT (5-Year, Active Scenario)</t>
  </si>
  <si>
    <t>OPERATING CASH FLOW</t>
  </si>
  <si>
    <t>Add: D&amp;A</t>
  </si>
  <si>
    <t>Working Capital Change</t>
  </si>
  <si>
    <t>Operating CF</t>
  </si>
  <si>
    <t>INVESTING CASH FLOW</t>
  </si>
  <si>
    <t>Capex (link Capex Schedule)</t>
  </si>
  <si>
    <t>Investing CF</t>
  </si>
  <si>
    <t>Intangibles Investment</t>
  </si>
  <si>
    <t>FINANCING CASH FLOW</t>
  </si>
  <si>
    <t>Equity Raises</t>
  </si>
  <si>
    <t>Debt Raises</t>
  </si>
  <si>
    <t>Financing CF</t>
  </si>
  <si>
    <t>NET CASH FLOW</t>
  </si>
  <si>
    <t>Beginning Cash</t>
  </si>
  <si>
    <t>Ending Cash</t>
  </si>
  <si>
    <t>BALANCE SHEET (5-Year Snapshots, Active Scenario)</t>
  </si>
  <si>
    <t>ASSETS</t>
  </si>
  <si>
    <t>Cash &amp; Equivalents</t>
  </si>
  <si>
    <t>Accounts Receivable</t>
  </si>
  <si>
    <t>Inventory (batteries+spares)</t>
  </si>
  <si>
    <t>Total Current Assets</t>
  </si>
  <si>
    <t>PP&amp;E (gross)</t>
  </si>
  <si>
    <t>Accumulated Depreciation</t>
  </si>
  <si>
    <t>PP&amp;E (net)</t>
  </si>
  <si>
    <t>Intangibles (Platform IP)</t>
  </si>
  <si>
    <t>TOTAL ASSETS</t>
  </si>
  <si>
    <t>LIABILITIES &amp; EQUITY</t>
  </si>
  <si>
    <t>Accounts Payable</t>
  </si>
  <si>
    <t>Short-term Debt</t>
  </si>
  <si>
    <t>Long-term Debt (cumulative)</t>
  </si>
  <si>
    <t>Total Liabilities</t>
  </si>
  <si>
    <t>Paid-in Capital (cumulative)</t>
  </si>
  <si>
    <t>Retained Earnings (cumulative)</t>
  </si>
  <si>
    <t>Total Equity</t>
  </si>
  <si>
    <t>TOTAL L&amp;E</t>
  </si>
  <si>
    <t>Balance Check (should be ~0)</t>
  </si>
  <si>
    <t>SCENARIO &amp; SENSITIVITY ANALYSIS</t>
  </si>
  <si>
    <t>THREE-SCENARIO COMPARISON (Y5 metrics)</t>
  </si>
  <si>
    <t>Y5 Revenue (IDR M)</t>
  </si>
  <si>
    <t>Top line scale</t>
  </si>
  <si>
    <t>Y5 EBITDA (IDR M)</t>
  </si>
  <si>
    <t>Margin acceleration</t>
  </si>
  <si>
    <t>Operating leverage</t>
  </si>
  <si>
    <t>Y5 Net Margin</t>
  </si>
  <si>
    <t>Bottom line</t>
  </si>
  <si>
    <t>Investor return</t>
  </si>
  <si>
    <t>Break-Even Year</t>
  </si>
  <si>
    <t>Cash + EBITDA</t>
  </si>
  <si>
    <t>5-Yr Capex (IDR M)</t>
  </si>
  <si>
    <t>Infrastructure</t>
  </si>
  <si>
    <t>NPV @ 15% (IDR M)</t>
  </si>
  <si>
    <t>Discounted</t>
  </si>
  <si>
    <t>SENSITIVITY: Y5 EBITDA Impact (Base Case)</t>
  </si>
  <si>
    <t>Down -20%</t>
  </si>
  <si>
    <t>Up +20%</t>
  </si>
  <si>
    <t>Δ Range</t>
  </si>
  <si>
    <t>Carbon price (USD 5 vs USD 20)</t>
  </si>
  <si>
    <t>Microgrid count</t>
  </si>
  <si>
    <t>TWO-VARIABLE: Y5 EBITDA (Util × Carbon Price)</t>
  </si>
  <si>
    <t>Util ↓ / Carbon →</t>
  </si>
  <si>
    <t>INVESTOR RETURN MODEL — Cap Table &amp; Exit Waterfall</t>
  </si>
  <si>
    <t>CAP TABLE EVOLUTION</t>
  </si>
  <si>
    <t>Pre-Money (IDR)</t>
  </si>
  <si>
    <t>Round Size</t>
  </si>
  <si>
    <t>Cumul Dilution</t>
  </si>
  <si>
    <t>Founder Equity</t>
  </si>
  <si>
    <t>OWNERSHIP EVOLUTION (% by Round)</t>
  </si>
  <si>
    <t>Stakeholder</t>
  </si>
  <si>
    <t>Founders</t>
  </si>
  <si>
    <t>Founders/Team</t>
  </si>
  <si>
    <t>Pre-Seed Investors</t>
  </si>
  <si>
    <t>Seed Investors</t>
  </si>
  <si>
    <t>Series A Investors</t>
  </si>
  <si>
    <t>Series B Investors</t>
  </si>
  <si>
    <t>EXIT SCENARIOS — Series A Investor Returns</t>
  </si>
  <si>
    <t>Scenario</t>
  </si>
  <si>
    <t>Multiple</t>
  </si>
  <si>
    <t>Enterprise Value</t>
  </si>
  <si>
    <t>Series A Return</t>
  </si>
  <si>
    <t>MOIC</t>
  </si>
  <si>
    <t>IDX IPO (8x rev)</t>
  </si>
  <si>
    <t>Strategic Acquisition</t>
  </si>
  <si>
    <t>ASEAN Platform</t>
  </si>
  <si>
    <t>Aggressive Unicorn</t>
  </si>
  <si>
    <t>SERIES A IRR ANALYSIS</t>
  </si>
  <si>
    <t>Investment Year</t>
  </si>
  <si>
    <t>Exit Year (assumed)</t>
  </si>
  <si>
    <t>Base Case IRR (7-yr)</t>
  </si>
  <si>
    <t>DEPLOYMENT ROADMAP — Gantt View</t>
  </si>
  <si>
    <t>Phase</t>
  </si>
  <si>
    <t>Action</t>
  </si>
  <si>
    <t>Owner</t>
  </si>
  <si>
    <t>Quarter</t>
  </si>
  <si>
    <t>Sign LOI with TBS Energi/Electrum</t>
  </si>
  <si>
    <t>CEO + BD</t>
  </si>
  <si>
    <t>Plan</t>
  </si>
  <si>
    <t>Q2 2026</t>
  </si>
  <si>
    <t>Sign pilot LOI with J&amp;T or SiCepat (50 motors)</t>
  </si>
  <si>
    <t>CEO + COO</t>
  </si>
  <si>
    <t>Q3 2026</t>
  </si>
  <si>
    <t>Apply ICCTF / USAID grant</t>
  </si>
  <si>
    <t>CFO</t>
  </si>
  <si>
    <t>Recruit Lead Battery Engineer (ex-Electrum/LG)</t>
  </si>
  <si>
    <t>Close Rp 2 B Seed (East/AC Ventures/NEN)</t>
  </si>
  <si>
    <t>CEO+CFO</t>
  </si>
  <si>
    <t>Deploy 2 Hubs Jakarta + 1 Microgrid NTT</t>
  </si>
  <si>
    <t>COO</t>
  </si>
  <si>
    <t>Q4 2027</t>
  </si>
  <si>
    <t>Launch VoltLoop OS v1 + Battery Passport beta</t>
  </si>
  <si>
    <t>CTO</t>
  </si>
  <si>
    <t>Q1 2028</t>
  </si>
  <si>
    <t>Close Rp 20 M Series A (East+AC+Clime+ADB)</t>
  </si>
  <si>
    <t>Scale to 25 Hubs + 18 Microgrids</t>
  </si>
  <si>
    <t>2029</t>
  </si>
  <si>
    <t>Sign CATL Karawang battery passport partnership</t>
  </si>
  <si>
    <t>Q4 2029</t>
  </si>
  <si>
    <t>Close Rp 100 M Series B</t>
  </si>
  <si>
    <t>Launch material recovery pilot</t>
  </si>
  <si>
    <t>2031</t>
  </si>
  <si>
    <t>Expansion</t>
  </si>
  <si>
    <t>Philippines pilot (Cebu/Palawan)</t>
  </si>
  <si>
    <t>Regional CEO</t>
  </si>
  <si>
    <t>Vietnam pilot</t>
  </si>
  <si>
    <t>2032</t>
  </si>
  <si>
    <t>Thailand pilot</t>
  </si>
  <si>
    <t>2033</t>
  </si>
  <si>
    <t>Exit Prep</t>
  </si>
  <si>
    <t>Strategic exit or IPO prep</t>
  </si>
  <si>
    <t>Board</t>
  </si>
  <si>
    <t>2034-2035</t>
  </si>
  <si>
    <t>STRATEGIC RECOMMENDATIONS &amp; 90-DAY ACTIONS</t>
  </si>
  <si>
    <t>STAGED RECOMMENDATIONS WITH BENCHMARKS</t>
  </si>
  <si>
    <t>Benchmark</t>
  </si>
  <si>
    <t>Sign LOI with TBS Energi/Electrum for 2nd-life battery feedstock (target 200 batteries Y1)</t>
  </si>
  <si>
    <t>0-3 mo</t>
  </si>
  <si>
    <t>200 batteries</t>
  </si>
  <si>
    <t>CEO+BD</t>
  </si>
  <si>
    <t>Sign pilot LOI with J&amp;T or SiCepat for 50-courier proof-of-concept</t>
  </si>
  <si>
    <t>50 motors @ 60% util</t>
  </si>
  <si>
    <t>CEO+COO</t>
  </si>
  <si>
    <t>Secure ICCTF or USAID Indonesia Clean Energy grant (USD 200K-500K)</t>
  </si>
  <si>
    <t>0-6 mo</t>
  </si>
  <si>
    <t>USD 300K target</t>
  </si>
  <si>
    <t>Apply CIIC 2026 (East Ventures × Temasek Foundation Energy Transition)</t>
  </si>
  <si>
    <t>Rp 15B prize pool</t>
  </si>
  <si>
    <t>Recruit Lead Battery Engineer (ex-Electrum / ex-LG Energy Solutions)</t>
  </si>
  <si>
    <t>Senior IC level</t>
  </si>
  <si>
    <t>Close Rp 2B Seed Round (East Ventures, AC Ventures, NEN, ITB angels)</t>
  </si>
  <si>
    <t>6-12 mo</t>
  </si>
  <si>
    <t>Rp 8B pre-money</t>
  </si>
  <si>
    <t>Deploy 2 Hubs Jakarta + 1 Microgrid (NTT or Maluku)</t>
  </si>
  <si>
    <t>12-18 mo</t>
  </si>
  <si>
    <t>60% utilization</t>
  </si>
  <si>
    <t>Operationalize VoltLoop OS v1 + battery passport beta</t>
  </si>
  <si>
    <t>EU 2023/1542 ready</t>
  </si>
  <si>
    <t>Close Rp 20B Series A (East+AC+Clime SEACEF II+ADB Ventures)</t>
  </si>
  <si>
    <t>18-30 mo</t>
  </si>
  <si>
    <t>Rp 75B pre-money</t>
  </si>
  <si>
    <t>10</t>
  </si>
  <si>
    <t>30-36 mo</t>
  </si>
  <si>
    <t>Rp 8M revenue</t>
  </si>
  <si>
    <t>11</t>
  </si>
  <si>
    <t>Battery passport partnership w/ CATL Karawang</t>
  </si>
  <si>
    <t>1 OEM contract</t>
  </si>
  <si>
    <t>12</t>
  </si>
  <si>
    <t>Secure 2 PLN Wilayah Usaha permits for island microgrids</t>
  </si>
  <si>
    <t>30-42 mo</t>
  </si>
  <si>
    <t>2 permits</t>
  </si>
  <si>
    <t>BD+Legal</t>
  </si>
  <si>
    <t>THRESHOLDS THAT CHANGE STRATEGY</t>
  </si>
  <si>
    <t>Trigger</t>
  </si>
  <si>
    <t>Strategic Pivot</t>
  </si>
  <si>
    <t>EU passport mandate delayed &gt;2 years</t>
  </si>
  <si>
    <t>De-prioritize passport SaaS; focus physical infra</t>
  </si>
  <si>
    <t>CATL or NIO enters Indonesian swap directly</t>
  </si>
  <si>
    <t>Accelerate TBS exclusivity; pivot to white-label OS</t>
  </si>
  <si>
    <t>EV subsidy program canceled permanently</t>
  </si>
  <si>
    <t>Shift mix toward B2B logistics (subsidy-independent)</t>
  </si>
  <si>
    <t>Carbon &lt;USD 5/t for &gt;12 months</t>
  </si>
  <si>
    <t>Treat carbon as bonus, not revenue</t>
  </si>
  <si>
    <t>Battery cost &gt;USD 130/kWh in 2027</t>
  </si>
  <si>
    <t>Lock long-term OEM contracts; prioritize 2nd-life supply</t>
  </si>
  <si>
    <t>ASEAN battery passport adopted</t>
  </si>
  <si>
    <t>Accelerate Philippines + Vietnam expansion</t>
  </si>
  <si>
    <t>DATA ROOM INDEX (Series A)</t>
  </si>
  <si>
    <t>Investor Brief: teaser, 15-slide deck, Business Plan</t>
  </si>
  <si>
    <t>Company: Cap Table, Org Chart, Articles, Founder Bios</t>
  </si>
  <si>
    <t>Market: TAM/SAM/SOM Workbook, Customer Interviews, Comp Benchmarks</t>
  </si>
  <si>
    <t>Product/Tech: Architecture, BMS Spec, AI Performance, IP Strategy</t>
  </si>
  <si>
    <t>Financial: This 24-sheet Excel, Audited Statements, Cap Table Waterfall</t>
  </si>
  <si>
    <t>5</t>
  </si>
  <si>
    <t>Customers/Partners: TBS MoU, J&amp;T/SiCepat LOIs, PLN Wilayah Usaha pre-app</t>
  </si>
  <si>
    <t>6</t>
  </si>
  <si>
    <t>Risk/Compliance: Risk Register, Insurance, Cyber, SNI/IEC Certifications</t>
  </si>
  <si>
    <t>7</t>
  </si>
  <si>
    <t>ESG/Impact: Methodology, SDG Mapping, Carbon Methodology</t>
  </si>
  <si>
    <t>8</t>
  </si>
  <si>
    <t>Grants: ADB, USAID, ICCTF, World Bank ISLE-3 alignment</t>
  </si>
  <si>
    <t>kWh</t>
  </si>
  <si>
    <t>Pack energy</t>
  </si>
  <si>
    <t>cells</t>
  </si>
  <si>
    <t>Cell count (s x p)</t>
  </si>
  <si>
    <t>[Assumption]</t>
  </si>
  <si>
    <t>p</t>
  </si>
  <si>
    <t>Cell: parallel</t>
  </si>
  <si>
    <t>s</t>
  </si>
  <si>
    <t>Cell: NMC 21700 5Ah — series</t>
  </si>
  <si>
    <t>Ah</t>
  </si>
  <si>
    <t>Capacity</t>
  </si>
  <si>
    <t>Scooter swap class; LFP 16s alternative open</t>
  </si>
  <si>
    <t>V</t>
  </si>
  <si>
    <t>Nominal voltage (13s NMC)</t>
  </si>
  <si>
    <t>G. Smart Battery Pack Architecture (HOLD FOR VALIDATION)</t>
  </si>
  <si>
    <t>NOT in hardware unit cost; size via dev plan</t>
  </si>
  <si>
    <t>[TBD]</t>
  </si>
  <si>
    <t>VoltOS software NRE (cloud+edge dev) — reference only</t>
  </si>
  <si>
    <t>VoltGrid sheet-metal jigs/fixtures</t>
  </si>
  <si>
    <t>VoltSwap sheet-metal jigs/fixtures</t>
  </si>
  <si>
    <t>VoltSwap connector-dock mold + jigs</t>
  </si>
  <si>
    <t>P20/H13 steel molds</t>
  </si>
  <si>
    <t>SBP hard tooling set (production molds + gasket die)</t>
  </si>
  <si>
    <t>Aluminum molds, pilot path</t>
  </si>
  <si>
    <t>SBP soft tooling set (top/bottom/holder/handle molds)</t>
  </si>
  <si>
    <t>F. Tooling / NRE (one-off, not in unit price unless amortized)</t>
  </si>
  <si>
    <t>Local supplier, small MOQ, conservative</t>
  </si>
  <si>
    <t>x Base</t>
  </si>
  <si>
    <t>Scenario factor — High</t>
  </si>
  <si>
    <t>Cheapest supplier / simplified process</t>
  </si>
  <si>
    <t>Scenario factor — Low</t>
  </si>
  <si>
    <t>Mass quantity (hard tooling amortization base)</t>
  </si>
  <si>
    <t>Low-volume quantity</t>
  </si>
  <si>
    <t>Pilot quantity (tooling amortization base)</t>
  </si>
  <si>
    <t>units/product</t>
  </si>
  <si>
    <t>Prototype quantity</t>
  </si>
  <si>
    <t>E. Volumes &amp; Scenario Factors</t>
  </si>
  <si>
    <t>Contingency — Mass</t>
  </si>
  <si>
    <t>Contingency — Low-volume</t>
  </si>
  <si>
    <t>Contingency — Pilot</t>
  </si>
  <si>
    <t>TRL 3 design churn</t>
  </si>
  <si>
    <t>Contingency — Prototype</t>
  </si>
  <si>
    <t>Scrap % — mechanical purchased</t>
  </si>
  <si>
    <t>Scrap/attrition % — electronics</t>
  </si>
  <si>
    <t>Inside Fabrication sheet models</t>
  </si>
  <si>
    <t>Scrap % — fabricated material</t>
  </si>
  <si>
    <t>Domestic freight/handling</t>
  </si>
  <si>
    <t>of price</t>
  </si>
  <si>
    <t>Local purchase landed adder</t>
  </si>
  <si>
    <t>Applied to overseas-sourced parts</t>
  </si>
  <si>
    <t>Import landed adder (ship+duty+PPN buffer)</t>
  </si>
  <si>
    <t>D. Logistics, Scrap, Contingency</t>
  </si>
  <si>
    <t>Pure Ni 0.15-0.2mm</t>
  </si>
  <si>
    <t>[Estimated]</t>
  </si>
  <si>
    <t>IDR/kg</t>
  </si>
  <si>
    <t>Nickel strip (cell interconnect)</t>
  </si>
  <si>
    <t>Resin distributor</t>
  </si>
  <si>
    <t>PA66-GF30 pellets (molding)</t>
  </si>
  <si>
    <t>Engineering plastic stock</t>
  </si>
  <si>
    <t>PA66-GF30 slab (machining)</t>
  </si>
  <si>
    <t>LME + local premium</t>
  </si>
  <si>
    <t>Copper C1100 bar</t>
  </si>
  <si>
    <t>Aluminum 5052/6061</t>
  </si>
  <si>
    <t>Stainless steel 304 sheet</t>
  </si>
  <si>
    <t>Local distributor 2026</t>
  </si>
  <si>
    <t>Steel sheet SPCC/SS400</t>
  </si>
  <si>
    <t>C. Raw Material Prices</t>
  </si>
  <si>
    <t>Industrial powder coat, RAL std</t>
  </si>
  <si>
    <t>IDR/m2</t>
  </si>
  <si>
    <t>Powder coating rate</t>
  </si>
  <si>
    <t>IDR/hr</t>
  </si>
  <si>
    <t>Fab shop labor (deburr/fit)</t>
  </si>
  <si>
    <t>Job-shop</t>
  </si>
  <si>
    <t>Welding rate (MIG/TIG incl. welder)</t>
  </si>
  <si>
    <t>Press brake bending rate</t>
  </si>
  <si>
    <t>Fiber laser job-shop</t>
  </si>
  <si>
    <t>Laser cutting rate</t>
  </si>
  <si>
    <t>Local job-shop 3-axis incl. operator</t>
  </si>
  <si>
    <t>CNC machining rate</t>
  </si>
  <si>
    <t>Skilled EE technician, loaded</t>
  </si>
  <si>
    <t>Technician / test / QC rate</t>
  </si>
  <si>
    <t>UMK + overhead + supervision, loaded</t>
  </si>
  <si>
    <t>Assembly labor rate</t>
  </si>
  <si>
    <t>B. Labor &amp; Machine Rates (Bandung/Cirebon, loaded)</t>
  </si>
  <si>
    <t>Planning rate</t>
  </si>
  <si>
    <t>IDR/CNY</t>
  </si>
  <si>
    <t>FX CNY/IDR</t>
  </si>
  <si>
    <t>Mid-2026 planning rate; add buffer in import logistics %</t>
  </si>
  <si>
    <t>FX USD/IDR</t>
  </si>
  <si>
    <t>A. Currency &amp; FX</t>
  </si>
  <si>
    <t>Source / Note</t>
  </si>
  <si>
    <t>Confidence</t>
  </si>
  <si>
    <t>Parameter</t>
  </si>
  <si>
    <t>GLOBAL ASSUMPTIONS — ALL BLUE CELLS ARE EDITABLE INPUTS</t>
  </si>
  <si>
    <t>Laser + bend; coat</t>
  </si>
  <si>
    <t>Steel 3mm</t>
  </si>
  <si>
    <t>VoltOS VESA Bracket</t>
  </si>
  <si>
    <t>CNC + bend; finishing = anodize; mass = extrusion+stamping</t>
  </si>
  <si>
    <t>Aluminum 5052</t>
  </si>
  <si>
    <t>VoltOS Edge Enclosure</t>
  </si>
  <si>
    <t>Cut/bend/drill; finishing = plating + insulation supports</t>
  </si>
  <si>
    <t>Copper C1100</t>
  </si>
  <si>
    <t>VG DC Busbar Set</t>
  </si>
  <si>
    <t>Cut + weld 4 hr; coat 3 m2</t>
  </si>
  <si>
    <t>Steel SS400</t>
  </si>
  <si>
    <t>VG Internal Rack</t>
  </si>
  <si>
    <t>Cut + weld 3 hr; coat 2 m2</t>
  </si>
  <si>
    <t>VG Base Plinth</t>
  </si>
  <si>
    <t>Laser 5 + bend 5 blended; 14 hr weld/fit; finishing = powder coat 12 m2</t>
  </si>
  <si>
    <t>Steel SPCC/SS400</t>
  </si>
  <si>
    <t>VG Cabinet Body (frame+panels+doors)</t>
  </si>
  <si>
    <t>Laser+bend blended; coat 0.8 m2</t>
  </si>
  <si>
    <t>Steel SPCC 1.5mm</t>
  </si>
  <si>
    <t>VS Battery Bay Body (per bay)</t>
  </si>
  <si>
    <t>Laser 3hr + bend 3hr blended @ laser rate; finishing = powder coat 8 m2</t>
  </si>
  <si>
    <t>VS Panel Set (sides/roof)</t>
  </si>
  <si>
    <t>Cut+bend at laser/brake (3.5 hr blended), 12 hr weld-equivalent in Labor @ fab rate is understated -&gt; weld priced via finishing? No: labor here = weld+fit at weld rate; finishing = powder coat 6 m2</t>
  </si>
  <si>
    <t>Steel SS400 tube/sheet</t>
  </si>
  <si>
    <t>VS Structural Frame</t>
  </si>
  <si>
    <t>Laser cut + bend; finishing = nickel plating</t>
  </si>
  <si>
    <t>Smart Battery Pack</t>
  </si>
  <si>
    <t>SBP Busbar Set</t>
  </si>
  <si>
    <t>Laser/CNC + deburr; mass = stamping</t>
  </si>
  <si>
    <t>SS304 5mm</t>
  </si>
  <si>
    <t>SBP Locking Hook Set (2 pcs)</t>
  </si>
  <si>
    <t>CNC from slab; ribs simplified for proto</t>
  </si>
  <si>
    <t>PA66-GF30 slab</t>
  </si>
  <si>
    <t>SBP Bottom Casing (proto CNC)</t>
  </si>
  <si>
    <t>CNC from slab for proto only; pilot=soft-tool molding, mass=hard-tool molding (see SBP_BOM price columns)</t>
  </si>
  <si>
    <t>SBP Top Cover (proto CNC)</t>
  </si>
  <si>
    <t>Process Route / Notes</t>
  </si>
  <si>
    <t>TOTAL FAB COST</t>
  </si>
  <si>
    <t>QC Cost</t>
  </si>
  <si>
    <t>QC Rate</t>
  </si>
  <si>
    <t>QC hr</t>
  </si>
  <si>
    <t>Scrap Cost</t>
  </si>
  <si>
    <t>Scrap %</t>
  </si>
  <si>
    <t>Finishing (IDR)</t>
  </si>
  <si>
    <t>Labor Cost</t>
  </si>
  <si>
    <t>Labor Rate</t>
  </si>
  <si>
    <t>Labor hr</t>
  </si>
  <si>
    <t>Process Cost</t>
  </si>
  <si>
    <t>Machine Rate</t>
  </si>
  <si>
    <t>Machine hr</t>
  </si>
  <si>
    <t>Material Cost</t>
  </si>
  <si>
    <t>Price/kg (IDR)</t>
  </si>
  <si>
    <t>Gross kg</t>
  </si>
  <si>
    <t>Util %</t>
  </si>
  <si>
    <t>Net kg</t>
  </si>
  <si>
    <t>Material</t>
  </si>
  <si>
    <t>Product</t>
  </si>
  <si>
    <t>Part</t>
  </si>
  <si>
    <t>Total = Gross Material + Process + Labor + Finishing + Scrap + QC.  Gross material = Net weight / Utilization. All weights, times, utilization = engineering [Assumption] pending CAD mass properties.</t>
  </si>
  <si>
    <t>SHOULD-COST MODELS — CUSTOM FABRICATED PARTS (PROTOTYPE / JOB-SHOP BASIS)</t>
  </si>
  <si>
    <t>TOTAL DIRECT MATERIAL + PURCHASED + FAB (per product)</t>
  </si>
  <si>
    <t>Required for VoltOS authentication flow.</t>
  </si>
  <si>
    <t>Local print + importer</t>
  </si>
  <si>
    <t>Serialized QR + NTAG class NFC, UV-stable label</t>
  </si>
  <si>
    <t>set</t>
  </si>
  <si>
    <t>Buy</t>
  </si>
  <si>
    <t>Explicit</t>
  </si>
  <si>
    <t>COTS</t>
  </si>
  <si>
    <t>Label + QR + NFC/RFID Tag</t>
  </si>
  <si>
    <t>ID</t>
  </si>
  <si>
    <t>AE-SBP-601</t>
  </si>
  <si>
    <t>Marketplace / importer</t>
  </si>
  <si>
    <t>1-2 W/mK pad between cells-casing, BMS-casing</t>
  </si>
  <si>
    <t>Derived</t>
  </si>
  <si>
    <t>Consumable</t>
  </si>
  <si>
    <t>Thermal Pad / Gap Filler</t>
  </si>
  <si>
    <t>Thermal</t>
  </si>
  <si>
    <t>AE-SBP-503</t>
  </si>
  <si>
    <t>Marketplace</t>
  </si>
  <si>
    <t>Fishpaper/barley paper + kapton + epoxy board</t>
  </si>
  <si>
    <t>Insulation Kit</t>
  </si>
  <si>
    <t>Insulation</t>
  </si>
  <si>
    <t>AE-SBP-502</t>
  </si>
  <si>
    <t>Includes ~1.5 hr harness labor at proto.</t>
  </si>
  <si>
    <t>In-house assembly</t>
  </si>
  <si>
    <t>Silicone wire, lugs, sleeving; bend radius per layout</t>
  </si>
  <si>
    <t>Make</t>
  </si>
  <si>
    <t>Cable/harness</t>
  </si>
  <si>
    <t>Internal Wiring Harness</t>
  </si>
  <si>
    <t>Harness</t>
  </si>
  <si>
    <t>AE-SBP-501</t>
  </si>
  <si>
    <t>Safety-critical; design validation required before sourcing.</t>
  </si>
  <si>
    <t>Custom/purchased</t>
  </si>
  <si>
    <t>First-break/last-make interlock circuit</t>
  </si>
  <si>
    <t>ea</t>
  </si>
  <si>
    <t>Electronic component</t>
  </si>
  <si>
    <t>HVIL Loop</t>
  </si>
  <si>
    <t>Connector</t>
  </si>
  <si>
    <t>AE-SBP-403</t>
  </si>
  <si>
    <t>Alibaba / distributor</t>
  </si>
  <si>
    <t>CAN/RS485 + interlock pins, blind-mate tolerant</t>
  </si>
  <si>
    <t>Signal Connector 8-pin IP67</t>
  </si>
  <si>
    <t>AE-SBP-402</t>
  </si>
  <si>
    <t>Genuine SurLok Plus = ~2-3x this price (High scenario). Mating-cycle rating critical for swap duty.</t>
  </si>
  <si>
    <t>Alibaba (Amphenol-clone) / Amphenol distributor</t>
  </si>
  <si>
    <t>SurLok-class 50-200A, blind-mate, 70x45x55 mm envelope</t>
  </si>
  <si>
    <t>Power Connector Pair 120A</t>
  </si>
  <si>
    <t>AE-SBP-401</t>
  </si>
  <si>
    <t>Often integrated in smart BMS — possible deletion (see Cost Reduction).</t>
  </si>
  <si>
    <t>Distributor / Alibaba</t>
  </si>
  <si>
    <t>100A shunt class, +/-1% with isolation</t>
  </si>
  <si>
    <t>Current Sensor (shunt + isolated amp)</t>
  </si>
  <si>
    <t>Sensors</t>
  </si>
  <si>
    <t>AE-SBP-305</t>
  </si>
  <si>
    <t>4-8 range; 6 nominal.</t>
  </si>
  <si>
    <t>Marketplace / distributor</t>
  </si>
  <si>
    <t>10k NTC, ring-lug or pad mount</t>
  </si>
  <si>
    <t>pcs</t>
  </si>
  <si>
    <t>NTC Temperature Sensor</t>
  </si>
  <si>
    <t>AE-SBP-304</t>
  </si>
  <si>
    <t>Qty may rise to 2 (pre-charge / bidirectional) — High scenario.</t>
  </si>
  <si>
    <t>Main disconnect, coil economizer preferred</t>
  </si>
  <si>
    <t>DC Contactor 100A 48V</t>
  </si>
  <si>
    <t>AE-SBP-303</t>
  </si>
  <si>
    <t>Rating TBD pending short-circuit study.</t>
  </si>
  <si>
    <t>Distributor (Bussmann/Littelfuse class or clone)</t>
  </si>
  <si>
    <t>DC-rated, interrupt rating per pack short-circuit calc</t>
  </si>
  <si>
    <t>Main Fuse 125A DC</t>
  </si>
  <si>
    <t>AE-SBP-302</t>
  </si>
  <si>
    <t>Custom BMS (own PCBA) is a Phase-2 make-or-buy decision; buy for proto/pilot.</t>
  </si>
  <si>
    <t>Alibaba (JBD/ANT/JK class)</t>
  </si>
  <si>
    <t>Balancing, OV/UV/OC/OT protection, SOC, comms</t>
  </si>
  <si>
    <t>PCB / PCBA</t>
  </si>
  <si>
    <t>Smart BMS 13s 60A, CAN/RS485</t>
  </si>
  <si>
    <t>AE-SBP-301</t>
  </si>
  <si>
    <t>Per-pack usage estimate for 78-cell layout.</t>
  </si>
  <si>
    <t>Importer / marketplace</t>
  </si>
  <si>
    <t>Pure Ni 0.15-0.2 mm strip</t>
  </si>
  <si>
    <t>kg</t>
  </si>
  <si>
    <t>Raw material</t>
  </si>
  <si>
    <t>Nickel Strip + Spot-Weld Consumables</t>
  </si>
  <si>
    <t>Cell Module</t>
  </si>
  <si>
    <t>AE-SBP-204</t>
  </si>
  <si>
    <t>Ampacity sizing TBD pending current spec.</t>
  </si>
  <si>
    <t>Local laser + plating</t>
  </si>
  <si>
    <t>Cu C1100 1-3 mm, Ni-plated</t>
  </si>
  <si>
    <t>Custom fabricated</t>
  </si>
  <si>
    <t>Busbar Set</t>
  </si>
  <si>
    <t>AE-SBP-203</t>
  </si>
  <si>
    <t>Proto: SLS/MJF print. Mold shared in SBP tooling NRE.</t>
  </si>
  <si>
    <t>300000</t>
  </si>
  <si>
    <t>3D print (proto) -&gt; molder</t>
  </si>
  <si>
    <t>PA66/ABS cell-layout-specific, thermal gap</t>
  </si>
  <si>
    <t>Cell Holder Set</t>
  </si>
  <si>
    <t>AE-SBP-202</t>
  </si>
  <si>
    <t>~USD 2.6-3.0/cell 2026 spot. ARCHITECTURE HOLD: chemistry/count not frozen — single largest cost swing.</t>
  </si>
  <si>
    <t>100</t>
  </si>
  <si>
    <t>Alibaba / authorized importer</t>
  </si>
  <si>
    <t>21700, 5.0 Ah, &gt;=800 cycle, grade A (EVE/BAK/Lishen class)</t>
  </si>
  <si>
    <t>Electronic (cell)</t>
  </si>
  <si>
    <t>Battery Cells NMC 21700 5Ah</t>
  </si>
  <si>
    <t>AE-SBP-201</t>
  </si>
  <si>
    <t>Mass: progressive stamping.</t>
  </si>
  <si>
    <t>Local laser/CNC -&gt; stamper</t>
  </si>
  <si>
    <t>SS304, 5 mm, wear-rated, datum +/-0.2 mm</t>
  </si>
  <si>
    <t>Locking Hook Set (2 pcs)</t>
  </si>
  <si>
    <t>Locking</t>
  </si>
  <si>
    <t>AE-SBP-120</t>
  </si>
  <si>
    <t>Hold for Validation if pack &gt;15 kg (dual handle doubles cost).</t>
  </si>
  <si>
    <t>350000</t>
  </si>
  <si>
    <t>Local machining -&gt; insert molding</t>
  </si>
  <si>
    <t>PA66-GF + steel insert, 180 x 40 x 40 mm</t>
  </si>
  <si>
    <t>Reinforced Handle</t>
  </si>
  <si>
    <t>Handling</t>
  </si>
  <si>
    <t>AE-SBP-110</t>
  </si>
  <si>
    <t>Qty 16 nominal (12-20 range in BOM).</t>
  </si>
  <si>
    <t>Local marketplace (Tokopedia/distributor)</t>
  </si>
  <si>
    <t>SS304, torx, thread-forming into bosses</t>
  </si>
  <si>
    <t>Fastener Set M4/M5 SS</t>
  </si>
  <si>
    <t>Enclosure</t>
  </si>
  <si>
    <t>AE-SBP-104</t>
  </si>
  <si>
    <t>Proto: die-cut sheet. Mass: molded cord, gasket die in NRE.</t>
  </si>
  <si>
    <t>150000</t>
  </si>
  <si>
    <t>Local gasket fabricator</t>
  </si>
  <si>
    <t>Silicone/EPDM, 3-5 mm section, IP54/IP65 target</t>
  </si>
  <si>
    <t>Seal/gasket</t>
  </si>
  <si>
    <t>Perimeter Gasket</t>
  </si>
  <si>
    <t>AE-SBP-103</t>
  </si>
  <si>
    <t>Same tooling path as top cover. Aluminum die-cast alternative = High scenario.</t>
  </si>
  <si>
    <t>Local CNC shop -&gt; molder</t>
  </si>
  <si>
    <t>PA66-GF30, 3.0 mm wall, boss-reinforced</t>
  </si>
  <si>
    <t>Bottom Casing</t>
  </si>
  <si>
    <t>AE-SBP-102</t>
  </si>
  <si>
    <t>Proto: CNC from slab (Fabrication). Pilot: soft-tool molding. Mass: hard-tool molding (NRE in Assumptions F).</t>
  </si>
  <si>
    <t>PA66-GF30, 3.0 mm wall, ribbed, gasket groove</t>
  </si>
  <si>
    <t>Top Cover</t>
  </si>
  <si>
    <t>AE-SBP-101</t>
  </si>
  <si>
    <t>Source / Notes</t>
  </si>
  <si>
    <t>Lead (wk)</t>
  </si>
  <si>
    <t>MOQ</t>
  </si>
  <si>
    <t>Mass Cost / Product</t>
  </si>
  <si>
    <t>Low-Vol Cost / Product</t>
  </si>
  <si>
    <t>Pilot Cost / Product</t>
  </si>
  <si>
    <t>Proto Cost / Product</t>
  </si>
  <si>
    <t>Landed %</t>
  </si>
  <si>
    <t>Mass Unit Price (IDR)</t>
  </si>
  <si>
    <t>Pilot Unit Price (IDR)</t>
  </si>
  <si>
    <t>Proto Unit Price (IDR)</t>
  </si>
  <si>
    <t>Supplier / Source Type</t>
  </si>
  <si>
    <t>Material / Spec</t>
  </si>
  <si>
    <t>Qty</t>
  </si>
  <si>
    <t>Make/Buy</t>
  </si>
  <si>
    <t>Basis</t>
  </si>
  <si>
    <t>Category</t>
  </si>
  <si>
    <t>Component / Material</t>
  </si>
  <si>
    <t>Item Code</t>
  </si>
  <si>
    <t>Envelope frozen 450 x 310 x 160 mm. Architecture ASSUMED 13s6p NMC 21700 (48V 30Ah, 1.44 kWh) — Hold for Validation. Assembly/test/packaging/contingency are added in RollUp. Landed % covers freight+duty; scrap inside Fabrication models for Make items.</t>
  </si>
  <si>
    <t>SMART BATTERY PACK — COMPONENT-LEVEL COST BREAKDOWN</t>
  </si>
  <si>
    <t>Local print</t>
  </si>
  <si>
    <t>Safety labels, branding wrap, UV-stable</t>
  </si>
  <si>
    <t>Labels / Signage / Wrap</t>
  </si>
  <si>
    <t>Finishing</t>
  </si>
  <si>
    <t>AE-VS-504</t>
  </si>
  <si>
    <t>Do not substitute uncertified clone.</t>
  </si>
  <si>
    <t>Distributor (Schneider/IDEC class)</t>
  </si>
  <si>
    <t>Certified e-stop, fail-safe circuit</t>
  </si>
  <si>
    <t>Emergency Stop (certified)</t>
  </si>
  <si>
    <t>AE-VS-503</t>
  </si>
  <si>
    <t>In-house / panel builder</t>
  </si>
  <si>
    <t>Separated power/signal routing, lugs, ferrules; ~12 hr build</t>
  </si>
  <si>
    <t>Cable Harness Set (power+signal)</t>
  </si>
  <si>
    <t>Wiring</t>
  </si>
  <si>
    <t>AE-VS-502</t>
  </si>
  <si>
    <t>Could consolidate with VoltOS edge unit (see Cost Reduction).</t>
  </si>
  <si>
    <t>Industrial PC/PLC, CAN/RS485/Ethernet/4G, runs swap logic + interlocks</t>
  </si>
  <si>
    <t>Station Controller (IPC + IO)</t>
  </si>
  <si>
    <t>AE-VS-501</t>
  </si>
  <si>
    <t>Slot status LEDs + audible feedback</t>
  </si>
  <si>
    <t>Indicator + Buzzer Set</t>
  </si>
  <si>
    <t>UI</t>
  </si>
  <si>
    <t>AE-VS-403</t>
  </si>
  <si>
    <t>QR + NFC 13.56 MHz, outdoor-rated window</t>
  </si>
  <si>
    <t>QR/RFID Scanner Module</t>
  </si>
  <si>
    <t>AE-VS-402</t>
  </si>
  <si>
    <t>7-10 in range approved; 10.1 in baseline.</t>
  </si>
  <si>
    <t>High-brightness, IP65 front, capacitive</t>
  </si>
  <si>
    <t>Touchscreen HMI 10.1in Outdoor</t>
  </si>
  <si>
    <t>AE-VS-401</t>
  </si>
  <si>
    <t>Serviceable intake/exhaust mandatory per design decision.</t>
  </si>
  <si>
    <t>Distributor / marketplace</t>
  </si>
  <si>
    <t>120 mm industrial fan + replaceable filter</t>
  </si>
  <si>
    <t>Fan + Filter Set</t>
  </si>
  <si>
    <t>Cooling</t>
  </si>
  <si>
    <t>AE-VS-303</t>
  </si>
  <si>
    <t>PUIL-compliant panel.</t>
  </si>
  <si>
    <t>Local panel builder</t>
  </si>
  <si>
    <t>COTS assembly</t>
  </si>
  <si>
    <t>Power Distribution Unit</t>
  </si>
  <si>
    <t>Power</t>
  </si>
  <si>
    <t>AE-VS-302</t>
  </si>
  <si>
    <t>~USD 70-90 FOB class. CAN control needed for VoltOS optimization.</t>
  </si>
  <si>
    <t>Alibaba (charger ODM)</t>
  </si>
  <si>
    <t>48V-class CC/CV, CAN-controllable, PFC</t>
  </si>
  <si>
    <t>AC/DC Charger Module 900W CC/CV</t>
  </si>
  <si>
    <t>Charger</t>
  </si>
  <si>
    <t>AE-VS-301</t>
  </si>
  <si>
    <t>2 per slot.</t>
  </si>
  <si>
    <t>Distributor</t>
  </si>
  <si>
    <t>Photo/inductive, EMI-tolerant</t>
  </si>
  <si>
    <t>Presence Sensor</t>
  </si>
  <si>
    <t>Battery Bay</t>
  </si>
  <si>
    <t>AE-VS-206</t>
  </si>
  <si>
    <t>2 per slot (dual latch).</t>
  </si>
  <si>
    <t>Inductive/microswitch, fail-safe wiring</t>
  </si>
  <si>
    <t>Lock Sensor</t>
  </si>
  <si>
    <t>AE-VS-205</t>
  </si>
  <si>
    <t>Decision: mechanical latch alone rejected — sensor+interlock mandatory.</t>
  </si>
  <si>
    <t>Local machining + importer</t>
  </si>
  <si>
    <t>Dual SS latch + 12/24V solenoid interlock per slot</t>
  </si>
  <si>
    <t>Locking Latch + Solenoid Lock</t>
  </si>
  <si>
    <t>AE-VS-204</t>
  </si>
  <si>
    <t>Must co-develop with SBP-401. Dock mold NRE in Assumptions F.</t>
  </si>
  <si>
    <t>Alibaba custom / connector house</t>
  </si>
  <si>
    <t>PA66 + plated Cu contacts, float-mount, mating-cycle rated</t>
  </si>
  <si>
    <t>Connector Dock (mates SBP connector)</t>
  </si>
  <si>
    <t>AE-VS-203</t>
  </si>
  <si>
    <t>Extrusion supplier + machining</t>
  </si>
  <si>
    <t>Alu extrusion 430 mm + POM rollers + end-stop, parallelism &lt;=0.5 mm</t>
  </si>
  <si>
    <t>COTS/custom</t>
  </si>
  <si>
    <t>Guide Rail Pair + Rollers</t>
  </si>
  <si>
    <t>AE-VS-202</t>
  </si>
  <si>
    <t>6-slot baseline.</t>
  </si>
  <si>
    <t>Local fabricator</t>
  </si>
  <si>
    <t>SPCC 1.5 mm, internal 480x340x210 mm, rail datum +/-0.2 mm</t>
  </si>
  <si>
    <t>Bay Body</t>
  </si>
  <si>
    <t>AE-VS-201</t>
  </si>
  <si>
    <t>Local distributor</t>
  </si>
  <si>
    <t>Galvanized wedge anchors, pullout-rated</t>
  </si>
  <si>
    <t>Anchor Kit M12 x8</t>
  </si>
  <si>
    <t>Mounting</t>
  </si>
  <si>
    <t>AE-VS-104</t>
  </si>
  <si>
    <t>Local fabricator + hardware</t>
  </si>
  <si>
    <t>Steel door, cam lock, EPDM gasket</t>
  </si>
  <si>
    <t>Service Door Set (lock+hinge+gasket)</t>
  </si>
  <si>
    <t>AE-VS-103</t>
  </si>
  <si>
    <t>SPCC 1.5 mm, powder coat, weather-sealed</t>
  </si>
  <si>
    <t>Side/Roof Panel Set</t>
  </si>
  <si>
    <t>AE-VS-102</t>
  </si>
  <si>
    <t>Weld-heavy; jig NRE improves pilot/mass cost.</t>
  </si>
  <si>
    <t>SS400 welded frame, anchor-ready, 1200x780x1400 station</t>
  </si>
  <si>
    <t>Structural Frame</t>
  </si>
  <si>
    <t>AE-VS-101</t>
  </si>
  <si>
    <t>Enclosure frozen 1200 x 780 x 1400 mm; bay internal 480 x 340 x 210 mm for the 450x310x160 pack. Excludes battery packs. Assembly (60 hr proto), commissioning, crating, contingency in RollUp.</t>
  </si>
  <si>
    <t>VOLTSWAP STATION (6-SLOT) — COMPONENT-LEVEL COST BREAKDOWN</t>
  </si>
  <si>
    <t>Arc/shock warnings, SLD pocket, per PUIL</t>
  </si>
  <si>
    <t>Safety Label Set</t>
  </si>
  <si>
    <t>AE-VG-505</t>
  </si>
  <si>
    <t>Class 1 meter, Modbus, 3x CT</t>
  </si>
  <si>
    <t>Energy Meter + CTs</t>
  </si>
  <si>
    <t>AE-VG-504</t>
  </si>
  <si>
    <t>Panel-mount, IP65 front</t>
  </si>
  <si>
    <t>HMI Display 7in</t>
  </si>
  <si>
    <t>AE-VG-503</t>
  </si>
  <si>
    <t>Overlaps VoltOS edge — consolidation candidate.</t>
  </si>
  <si>
    <t>Industrial gateway, Modbus/CAN, cloud uplink</t>
  </si>
  <si>
    <t>Local Controller + Comms Gateway (4G/Eth/CAN)</t>
  </si>
  <si>
    <t>AE-VG-502</t>
  </si>
  <si>
    <t>Rail spec verified (NS35/7.5); pricing [Estimated].</t>
  </si>
  <si>
    <t>[Verified]</t>
  </si>
  <si>
    <t>Phoenix NS35/7.5 rail, PA terminal blocks, &gt;=80/40 mm ducts</t>
  </si>
  <si>
    <t>Terminal Blocks + DIN NS35/7.5 + Duct</t>
  </si>
  <si>
    <t>AE-VG-501</t>
  </si>
  <si>
    <t>Length basis: internal cabinet runs only.</t>
  </si>
  <si>
    <t>35-50 mm2 DC runs + shielded signal</t>
  </si>
  <si>
    <t>Power + Signal Cable Set</t>
  </si>
  <si>
    <t>AE-VG-404</t>
  </si>
  <si>
    <t>Crimp lugs 35-50 mm2 + signal ferrules</t>
  </si>
  <si>
    <t>Cable Lug Set</t>
  </si>
  <si>
    <t>AE-VG-403</t>
  </si>
  <si>
    <t>Cu PE bar, lugs, bonding straps</t>
  </si>
  <si>
    <t>Grounding Bar + Kit</t>
  </si>
  <si>
    <t>AE-VG-402</t>
  </si>
  <si>
    <t>CHINT class = Low scenario; Schneider/ABB = High.</t>
  </si>
  <si>
    <t>Distributor (Schneider/ABB or CHINT class)</t>
  </si>
  <si>
    <t>DC MCCB 125A class, AC MCCB, SPD DC+AC, isolator</t>
  </si>
  <si>
    <t>Breaker/Disconnect Set</t>
  </si>
  <si>
    <t>AE-VG-401</t>
  </si>
  <si>
    <t>Cabinet-level thermal assist</t>
  </si>
  <si>
    <t>Supplementary Heatsink/Fan Kit</t>
  </si>
  <si>
    <t>AE-VG-302</t>
  </si>
  <si>
    <t>Price basis = landed Indonesia retail/importer; landed % set 0 to avoid double count. Victron class = High scenario (~2x). SINGLE LARGEST LINE — RFQ FIRST.</t>
  </si>
  <si>
    <t>Importer (Deye/Growatt/Victron class)</t>
  </si>
  <si>
    <t>Bidirectional, grid-tie + off-grid, CAN/RS485 BMS comms</t>
  </si>
  <si>
    <t>Hybrid Inverter/PCS 10-12 kW, 48V</t>
  </si>
  <si>
    <t>AE-VG-301</t>
  </si>
  <si>
    <t>Local fabricator + plating</t>
  </si>
  <si>
    <t>Cu, plated, insulated supports, ampacity per system sizing</t>
  </si>
  <si>
    <t>DC Busbar Set</t>
  </si>
  <si>
    <t>Power Bus</t>
  </si>
  <si>
    <t>AE-VG-203</t>
  </si>
  <si>
    <t>Extrusion supplier</t>
  </si>
  <si>
    <t>Alu/galvanized, pack-depth specific</t>
  </si>
  <si>
    <t>pair</t>
  </si>
  <si>
    <t>Slot Rails</t>
  </si>
  <si>
    <t>Rack</t>
  </si>
  <si>
    <t>AE-VG-202</t>
  </si>
  <si>
    <t>Pack count per cabinet TBD.</t>
  </si>
  <si>
    <t>Steel rack, load-rated for packs/modules</t>
  </si>
  <si>
    <t>Internal Battery Rack</t>
  </si>
  <si>
    <t>AE-VG-201</t>
  </si>
  <si>
    <t>Distributor (EMKA class / clone)</t>
  </si>
  <si>
    <t>Industrial hinges, swing-handle lock, EPDM</t>
  </si>
  <si>
    <t>Door Hardware Set (hinge/lock/gasket)</t>
  </si>
  <si>
    <t>Cabinet</t>
  </si>
  <si>
    <t>AE-VG-104</t>
  </si>
  <si>
    <t>Distributor / fabricator</t>
  </si>
  <si>
    <t>Perforated + replaceable filter, tool-less</t>
  </si>
  <si>
    <t>Vent Filter Panel 500x300</t>
  </si>
  <si>
    <t>AE-VG-103</t>
  </si>
  <si>
    <t>Steel plinth, M12 anchor pattern</t>
  </si>
  <si>
    <t>Base Plinth 900x700x100</t>
  </si>
  <si>
    <t>AE-VG-102</t>
  </si>
  <si>
    <t>Rittal VX25-class buy option = High scenario (~Rp 18-25M).</t>
  </si>
  <si>
    <t>900x700x1800 mm, SPCC/SS400, powder coat, IP54/IP65 target</t>
  </si>
  <si>
    <t>Cabinet Body (frame+panels+doors)</t>
  </si>
  <si>
    <t>AE-VG-101</t>
  </si>
  <si>
    <t>Cabinet revised to 900 x 700 x 1800 mm. Battery packs excluded — add n x Smart Battery Pack at system level. PCS sizing assumed 10-12 kW @ 48V (TBD — must align with pack architecture). Assembly/test/packaging/contingency in RollUp.</t>
  </si>
  <si>
    <t>VOLTGRID CABINET — COMPONENT-LEVEL COST BREAKDOWN (EXCL. BATTERY PACKS)</t>
  </si>
  <si>
    <t>SIM data plan = opex, excluded.</t>
  </si>
  <si>
    <t>Distributor / telco</t>
  </si>
  <si>
    <t>Industrial SD/eMMC, device certs, SIM</t>
  </si>
  <si>
    <t>Storage + Certs/License Provisioning</t>
  </si>
  <si>
    <t>Provisioning</t>
  </si>
  <si>
    <t>AE-OS-301</t>
  </si>
  <si>
    <t>Optional — only for staffed operator terminal sites.</t>
  </si>
  <si>
    <t>Local retail/distributor</t>
  </si>
  <si>
    <t>1080p IPS, VESA 75/100</t>
  </si>
  <si>
    <t>Operator Monitor 24in</t>
  </si>
  <si>
    <t>Terminal</t>
  </si>
  <si>
    <t>AE-OS-202</t>
  </si>
  <si>
    <t>VESA spec verified; cost model [Assumption].</t>
  </si>
  <si>
    <t>Local laser shop</t>
  </si>
  <si>
    <t>VESA MIS-D, M4, hole position +/-0.1 mm</t>
  </si>
  <si>
    <t>VESA 75/100 Bracket 3mm Steel</t>
  </si>
  <si>
    <t>AE-OS-201</t>
  </si>
  <si>
    <t>Patch + serial + power pigtails</t>
  </si>
  <si>
    <t>Cable Set</t>
  </si>
  <si>
    <t>Edge HW</t>
  </si>
  <si>
    <t>AE-OS-107</t>
  </si>
  <si>
    <t>Field-wireable M12 + pluggable terminals</t>
  </si>
  <si>
    <t>Connector Set (M12/terminal)</t>
  </si>
  <si>
    <t>AE-OS-106</t>
  </si>
  <si>
    <t>Mass: extrusion + stamped ends.</t>
  </si>
  <si>
    <t>Local CNC -&gt; extrusion</t>
  </si>
  <si>
    <t>Aluminum, heatsink-capable, frozen dimension</t>
  </si>
  <si>
    <t>Edge Enclosure 210x150x40</t>
  </si>
  <si>
    <t>AE-OS-105</t>
  </si>
  <si>
    <t>Distributor (Mean Well class)</t>
  </si>
  <si>
    <t>DIN-rail, industrial temp</t>
  </si>
  <si>
    <t>PSU 24V 60W DIN</t>
  </si>
  <si>
    <t>AE-OS-104</t>
  </si>
  <si>
    <t>Distributor (Quectel class)</t>
  </si>
  <si>
    <t>Cat-4 LTE, Indonesian band support</t>
  </si>
  <si>
    <t>4G Module + Antenna</t>
  </si>
  <si>
    <t>AE-OS-103</t>
  </si>
  <si>
    <t>Proto = small-batch PCBA amortized; mass = panelized SMT.</t>
  </si>
  <si>
    <t>Local/regional PCBA (proto batch 5 pcs)</t>
  </si>
  <si>
    <t>FR4 4-layer, isolated RS485 x2 + CAN x2, surge protection</t>
  </si>
  <si>
    <t>PCB/PCBA</t>
  </si>
  <si>
    <t>IO Interface Board (PCBA)</t>
  </si>
  <si>
    <t>AE-OS-102</t>
  </si>
  <si>
    <t>RPi CM4-carrier industrial class or x86 gateway.</t>
  </si>
  <si>
    <t>Quad-core, -20..60C, Ethernet x2, runs VoltOS edge stack</t>
  </si>
  <si>
    <t>Edge Compute Module (industrial SBC/gateway)</t>
  </si>
  <si>
    <t>AE-OS-101</t>
  </si>
  <si>
    <t>Edge enclosure frozen 210 x 150 x 40 mm; VESA 75/100 M4. Cloud backend, OTA, security modules = software NRE (Assumptions F) and cloud opex — NOT in unit hardware cost. Flashing/QC labor in RollUp.</t>
  </si>
  <si>
    <t>VOLTOS — EDGE UNIT + OPERATOR TERMINAL HARDWARE COST BREAKDOWN</t>
  </si>
  <si>
    <t>Excludes: site civil works, grid connection, permits, software NRE, cloud opex, installation logistics.</t>
  </si>
  <si>
    <t>TOTAL SYSTEM (1 site reference)</t>
  </si>
  <si>
    <t>1 per VoltSwap + 1 per VoltGrid</t>
  </si>
  <si>
    <t>VoltOS Edge Unit</t>
  </si>
  <si>
    <t>VoltGrid Cabinet</t>
  </si>
  <si>
    <t>VoltSwap Station</t>
  </si>
  <si>
    <t>1.5 packs per slot rotation x 2 stations equiv.</t>
  </si>
  <si>
    <t>Mass Basis</t>
  </si>
  <si>
    <t>Pilot Basis</t>
  </si>
  <si>
    <t>Proto Basis</t>
  </si>
  <si>
    <t>Unit Cost (stage -&gt;)</t>
  </si>
  <si>
    <t>Item</t>
  </si>
  <si>
    <t>ECOSYSTEM REFERENCE CONFIGURATION (editable)</t>
  </si>
  <si>
    <t>Share of Proto Direct Cost</t>
  </si>
  <si>
    <t>Mass Cost</t>
  </si>
  <si>
    <t>Proto Cost</t>
  </si>
  <si>
    <t>SUBSYSTEM COST BREAKDOWN (Proto &amp; Mass, Base)</t>
  </si>
  <si>
    <t>Hardware only. Software NRE (Assumptions F, [TBD]) and cloud opex (~USD 0.5-2/device/month [Assumption]) excluded from unit cost.</t>
  </si>
  <si>
    <t>Scenario — HIGH</t>
  </si>
  <si>
    <t>Scenario — LOW</t>
  </si>
  <si>
    <t>TOTAL UNIT COST — BASE</t>
  </si>
  <si>
    <t>Contingency</t>
  </si>
  <si>
    <t>Subtotal</t>
  </si>
  <si>
    <t>NRE / amortization qty (Assumptions E-F). Proto avoids tooling (CNC/print path).</t>
  </si>
  <si>
    <t>Tooling amortization</t>
  </si>
  <si>
    <t>Packaging / crating</t>
  </si>
  <si>
    <t>Testing / QC cost</t>
  </si>
  <si>
    <t>Test / commissioning hours</t>
  </si>
  <si>
    <t>Assembly labor cost</t>
  </si>
  <si>
    <t>Hours per unit [Assumption]</t>
  </si>
  <si>
    <t>Assembly labor hours</t>
  </si>
  <si>
    <t>Link: VoltOS_BOM</t>
  </si>
  <si>
    <t>Direct material + purchased + fabricated</t>
  </si>
  <si>
    <t>Mass</t>
  </si>
  <si>
    <t>Low-Volume</t>
  </si>
  <si>
    <t>Pilot</t>
  </si>
  <si>
    <t>Prototype</t>
  </si>
  <si>
    <t>Cost Element</t>
  </si>
  <si>
    <t>VOLTOS EDGE + TERMINAL</t>
  </si>
  <si>
    <t>Excludes battery packs (add n x SBP) and grid interconnection/permitting. PCS assumed 10-12 kW.</t>
  </si>
  <si>
    <t>NRE amortized over pilot+low-vol combined qty (Assumptions E-F); mass over hard-tooling qty. Proto avoids tooling (CNC/print path).</t>
  </si>
  <si>
    <t>Link: VoltGrid_BOM</t>
  </si>
  <si>
    <t>VOLTGRID CABINET</t>
  </si>
  <si>
    <t>Excludes battery packs and site civil/electrical works (site works typically Rp 8-20M/site [Assumption]).</t>
  </si>
  <si>
    <t>Link: VoltSwap_BOM</t>
  </si>
  <si>
    <t>VOLTSWAP STATION (6-SLOT)</t>
  </si>
  <si>
    <t>Per-pack. 1.44 kWh assumed architecture. Mass column requires hard tooling committed; pilot/low-vol reuse soft tooling.</t>
  </si>
  <si>
    <t>Link: SBP_BOM</t>
  </si>
  <si>
    <t>SMART BATTERY PACK</t>
  </si>
  <si>
    <t>Unit cost = BOM direct cost + assembly + test/commissioning + packaging + tooling amortization + contingency. Low/Base/High applies scenario factor to total. Volumes per Assumptions E.</t>
  </si>
  <si>
    <t>COST ROLL-UP — UNIT COST PER PRODUCT ACROSS PRODUCTION STAGES (IDR)</t>
  </si>
  <si>
    <t>Dev-plan estimate with engineering team</t>
  </si>
  <si>
    <t>Currently [TBD] reference only</t>
  </si>
  <si>
    <t>Rp 0.5-3B NRE class</t>
  </si>
  <si>
    <t>Software NRE &amp; cloud opex unsized</t>
  </si>
  <si>
    <t>Regulatory mapping sprint</t>
  </si>
  <si>
    <t>Cert can force certified-brand substitutions</t>
  </si>
  <si>
    <t>Unbudgeted NRE + part upgrades</t>
  </si>
  <si>
    <t>All</t>
  </si>
  <si>
    <t>Certification scope (SNI, PLN interconnect, battery transport)</t>
  </si>
  <si>
    <t>Time-study first prototype build</t>
  </si>
  <si>
    <t>No build history at TRL 3</t>
  </si>
  <si>
    <t>+/-30% on labor lines</t>
  </si>
  <si>
    <t>VS, VG roll-ups</t>
  </si>
  <si>
    <t>Assembly hours unvalidated</t>
  </si>
  <si>
    <t>Pilot utilization data</t>
  </si>
  <si>
    <t>Demand model not validated</t>
  </si>
  <si>
    <t>Linear on chargers/bays/docks</t>
  </si>
  <si>
    <t>Swap-station slot count (6 baseline)</t>
  </si>
  <si>
    <t>Define kWh target per cabinet</t>
  </si>
  <si>
    <t>Energy capacity per cabinet undefined</t>
  </si>
  <si>
    <t>Rack + busbar resize</t>
  </si>
  <si>
    <t>VoltGrid, system economics</t>
  </si>
  <si>
    <t>Pack count per VoltGrid cabinet TBD</t>
  </si>
  <si>
    <t>Confirm HS codes with customs broker; FX buffer</t>
  </si>
  <si>
    <t>IDR volatility; HS-code duty ambiguity on packs/PCS</t>
  </si>
  <si>
    <t>+/-10-15%</t>
  </si>
  <si>
    <t>All import lines (~50-60% of spend)</t>
  </si>
  <si>
    <t>FX and import duty drift</t>
  </si>
  <si>
    <t>Delay hard tooling until pilot field data</t>
  </si>
  <si>
    <t>Mass unit price assumes tooled parts; premature freeze risks scrap tooling</t>
  </si>
  <si>
    <t>Rp 220M-750M NRE</t>
  </si>
  <si>
    <t>SBP</t>
  </si>
  <si>
    <t>Injection tooling commitment timing</t>
  </si>
  <si>
    <t>Prototype mating rig; cycle test clone vs genuine</t>
  </si>
  <si>
    <t>Mating-cycle + blind-mate + HVIL is the hardest interface</t>
  </si>
  <si>
    <t>+50-200% if genuine SurLok required</t>
  </si>
  <si>
    <t>SBP, VoltSwap</t>
  </si>
  <si>
    <t>Connector system (pack + dock) unproven for swap duty</t>
  </si>
  <si>
    <t>Size PCS from load study; 3 importer quotes</t>
  </si>
  <si>
    <t>Deye-class vs Victron-class is a 2x swing; kW rating unconfirmed</t>
  </si>
  <si>
    <t>-25% / +100% on PCS line</t>
  </si>
  <si>
    <t>PCS rating + brand tier undecided</t>
  </si>
  <si>
    <t>Freeze electrical spec; 3 cell RFQs (EVE/BAK/CATL-tier)</t>
  </si>
  <si>
    <t>Cells dominate pack cost; LFP vs NMC changes count, mass, BMS, charger</t>
  </si>
  <si>
    <t>+/-40% of pack cost</t>
  </si>
  <si>
    <t>SBP, VoltGrid sizing, charger spec</t>
  </si>
  <si>
    <t>Cell architecture not frozen (chemistry, s/p, capacity)</t>
  </si>
  <si>
    <t>De-risk Action</t>
  </si>
  <si>
    <t>Why</t>
  </si>
  <si>
    <t>Potential Cost Swing</t>
  </si>
  <si>
    <t>Affected</t>
  </si>
  <si>
    <t>Uncertainty</t>
  </si>
  <si>
    <t>TOP 10 UNCERTAINTY DRIVERS (ECOSYSTEM-WIDE)</t>
  </si>
  <si>
    <t>VESA bracket</t>
  </si>
  <si>
    <t>Cable set</t>
  </si>
  <si>
    <t>Cloud opex excluded (separate).</t>
  </si>
  <si>
    <t>Provisioning (storage/certs/SIM)</t>
  </si>
  <si>
    <t>Connector set</t>
  </si>
  <si>
    <t>PSU 24V DIN</t>
  </si>
  <si>
    <t>4G module + antenna</t>
  </si>
  <si>
    <t>CNC proto vs extrusion mass.</t>
  </si>
  <si>
    <t>Edge enclosure</t>
  </si>
  <si>
    <t>Proto batch amortization; collapses at volume.</t>
  </si>
  <si>
    <t>IO interface board (proto PCBA)</t>
  </si>
  <si>
    <t>Optional — delete for unmanned sites.</t>
  </si>
  <si>
    <t>Operator monitor 24"</t>
  </si>
  <si>
    <t>Industrial-grade premium ~2x consumer SBC.</t>
  </si>
  <si>
    <t>Edge compute module</t>
  </si>
  <si>
    <t>Driver Type / Comment</t>
  </si>
  <si>
    <t>% of Proto Unit Cost</t>
  </si>
  <si>
    <t>Mass Cost/Unit (IDR)</t>
  </si>
  <si>
    <t>Proto Cost/Unit (IDR)</t>
  </si>
  <si>
    <t>Cost Driver</t>
  </si>
  <si>
    <t>Panel-builder learning curve.</t>
  </si>
  <si>
    <t>Assembly labor (50 hr proto)</t>
  </si>
  <si>
    <t>Copper + plating.</t>
  </si>
  <si>
    <t>DC busbar set</t>
  </si>
  <si>
    <t>Base plinth</t>
  </si>
  <si>
    <t>Internal rack</t>
  </si>
  <si>
    <t>Possible deletion — VoltOS app could replace local HMI.</t>
  </si>
  <si>
    <t>HMI 7"</t>
  </si>
  <si>
    <t>Copper price exposure.</t>
  </si>
  <si>
    <t>Power + signal cable set</t>
  </si>
  <si>
    <t>Consolidation candidate with VoltOS edge.</t>
  </si>
  <si>
    <t>Controller + comms gateway</t>
  </si>
  <si>
    <t>Brand tier driven.</t>
  </si>
  <si>
    <t>Breaker / disconnect set</t>
  </si>
  <si>
    <t>Make vs buy (Rittal-class) decision.</t>
  </si>
  <si>
    <t>Cabinet body fabrication</t>
  </si>
  <si>
    <t>~45-55% of cabinet direct cost. RFQ before anything else; brand tier = 2x swing.</t>
  </si>
  <si>
    <t>PCS / hybrid inverter 10-12 kW</t>
  </si>
  <si>
    <t>Drops with fixtures + learning curve.</t>
  </si>
  <si>
    <t>Assembly labor (60 hr proto)</t>
  </si>
  <si>
    <t>Safety interlock mandate (design decision).</t>
  </si>
  <si>
    <t>Locking latch + solenoid (6x)</t>
  </si>
  <si>
    <t>Labor-driven.</t>
  </si>
  <si>
    <t>Cable harness set</t>
  </si>
  <si>
    <t>Material + laser/bend hours.</t>
  </si>
  <si>
    <t>Panel set (sides/roof)</t>
  </si>
  <si>
    <t>Outdoor-brightness spec drives 2x vs indoor.</t>
  </si>
  <si>
    <t>HMI 10.1" outdoor</t>
  </si>
  <si>
    <t>Component-brand driven (CHINT vs Schneider).</t>
  </si>
  <si>
    <t>PDU (panel, breakers, meter)</t>
  </si>
  <si>
    <t>Co-developed with pack connector; mold NRE behind mass price.</t>
  </si>
  <si>
    <t>Connector docks (6x)</t>
  </si>
  <si>
    <t>Station controller (IPC + IO)</t>
  </si>
  <si>
    <t>Weld-hour driven; jigs cut cost at pilot+.</t>
  </si>
  <si>
    <t>Structural frame (welded)</t>
  </si>
  <si>
    <t>Scales linearly with slot count — biggest config lever.</t>
  </si>
  <si>
    <t>Charger modules (6x 900W)</t>
  </si>
  <si>
    <t>Print vs mold path.</t>
  </si>
  <si>
    <t>Cell holder set</t>
  </si>
  <si>
    <t>Hold for Validation; dual handle doubles.</t>
  </si>
  <si>
    <t>Handle (reinforced)</t>
  </si>
  <si>
    <t>Labor-driven; jig + cut-to-length kits reduce.</t>
  </si>
  <si>
    <t>Internal harness</t>
  </si>
  <si>
    <t>Swap-cycle rating drives price; genuine SurLok = 2-3x.</t>
  </si>
  <si>
    <t>Power connector pair</t>
  </si>
  <si>
    <t>Certified part; qty may double with pre-charge.</t>
  </si>
  <si>
    <t>DC contactor</t>
  </si>
  <si>
    <t>Precision metal; stamping at volume.</t>
  </si>
  <si>
    <t>Locking hook set</t>
  </si>
  <si>
    <t>Spec-driven; custom PCBA at volume is the lever.</t>
  </si>
  <si>
    <t>Smart BMS 13s 60A</t>
  </si>
  <si>
    <t>Same — tooling decision driver.</t>
  </si>
  <si>
    <t>Top cover (proto CNC path)</t>
  </si>
  <si>
    <t>Prototype-path artifact; collapses ~94% with hard tooling.</t>
  </si>
  <si>
    <t>Bottom casing (proto CNC path)</t>
  </si>
  <si>
    <t>Volume + chemistry driven; ~55-65% of mass-prod direct cost. Quote first.</t>
  </si>
  <si>
    <t>Battery cells (78x NMC 21700)</t>
  </si>
  <si>
    <t>Cost cells link to BOM/RollUp — they update automatically. Ranking order is editorial based on current base values; re-sort after RFQs.</t>
  </si>
  <si>
    <t>TOP 10 COST DRIVERS PER PRODUCT (PROTOTYPE BASE, DYNAMIC LINKS)</t>
  </si>
  <si>
    <t>HS-code confirmation</t>
  </si>
  <si>
    <t>Customs broker ruling</t>
  </si>
  <si>
    <t>MED</t>
  </si>
  <si>
    <t>18% blanket [Assumption]</t>
  </si>
  <si>
    <t>Landed adder 18% is a blanket assumption</t>
  </si>
  <si>
    <t>Correct HS classification for cells, BMS, PCS</t>
  </si>
  <si>
    <t>Import duties / HS codes</t>
  </si>
  <si>
    <t>Site survey + PLN consultation</t>
  </si>
  <si>
    <t>Survey 2 candidate sites</t>
  </si>
  <si>
    <t>Rp 8-20M/site [Assumption]</t>
  </si>
  <si>
    <t>Real deployment cost per site excluded</t>
  </si>
  <si>
    <t>Civil, electrical connection, permits per site</t>
  </si>
  <si>
    <t>Site works (VoltSwap/VoltGrid)</t>
  </si>
  <si>
    <t>Engineering estimate workshop</t>
  </si>
  <si>
    <t>Dev plan</t>
  </si>
  <si>
    <t>Rp 1.5B reference [TBD]</t>
  </si>
  <si>
    <t>Investor model needs it; currently placeholder</t>
  </si>
  <si>
    <t>Scope, team, timeline for cloud+edge+security stack</t>
  </si>
  <si>
    <t>VoltOS software NRE</t>
  </si>
  <si>
    <t>Compliance sprint with consultant</t>
  </si>
  <si>
    <t>Regulatory mapping</t>
  </si>
  <si>
    <t>Excluded from model</t>
  </si>
  <si>
    <t>Can force certified substitutions + test NRE</t>
  </si>
  <si>
    <t>SNI, PLN interconnect, transport (UN38.3) scope</t>
  </si>
  <si>
    <t>Certification &amp; compliance</t>
  </si>
  <si>
    <t>Mass budget before enclosure freeze</t>
  </si>
  <si>
    <t>CAD mass rollup</t>
  </si>
  <si>
    <t>~13-15 kg implied by 78-cell NMC [Inference]</t>
  </si>
  <si>
    <t>Dual-handle + structural changes if &gt;15 kg</t>
  </si>
  <si>
    <t>Final pack weight (handle decision gate at 15 kg)</t>
  </si>
  <si>
    <t>Pack mass</t>
  </si>
  <si>
    <t>Instrument first build</t>
  </si>
  <si>
    <t>Time study on prototype build</t>
  </si>
  <si>
    <t>Per Fabrication sheet inputs</t>
  </si>
  <si>
    <t>Labor lines are [Assumption]; +/-30%</t>
  </si>
  <si>
    <t>Weld/bend/assembly time actuals</t>
  </si>
  <si>
    <t>VS/VG fabrication hours</t>
  </si>
  <si>
    <t>Sample 2 ODMs; hot-box test</t>
  </si>
  <si>
    <t>Charger thermal test</t>
  </si>
  <si>
    <t>900W/slot Rp 1.4M [Estimated]</t>
  </si>
  <si>
    <t>Thermal failure risk in tropical ambient</t>
  </si>
  <si>
    <t>CC/CV profile vs final pack, CAN protocol, derating at 40C ambient</t>
  </si>
  <si>
    <t>VS-301 Chargers</t>
  </si>
  <si>
    <t>RFQ Deye/Growatt/Victron importers this month</t>
  </si>
  <si>
    <t>Load/PV study + importer quotes</t>
  </si>
  <si>
    <t>10-12 kW 48V, Rp 28M landed [Estimated]</t>
  </si>
  <si>
    <t>~50% of VoltGrid direct cost</t>
  </si>
  <si>
    <t>kW rating, voltage window, grid-code compliance, brand tier</t>
  </si>
  <si>
    <t>VG-301 PCS</t>
  </si>
  <si>
    <t>DFM with molder at pilot CAD freeze</t>
  </si>
  <si>
    <t>DFM review + 2 toolmaker quotes</t>
  </si>
  <si>
    <t>Soft Rp 220M / hard Rp 750M [Assumption]</t>
  </si>
  <si>
    <t>Rp 220-750M NRE; mass unit price depends on it</t>
  </si>
  <si>
    <t>Final CAD, draft/rib design, mold cavitation</t>
  </si>
  <si>
    <t>SBP enclosure tooling</t>
  </si>
  <si>
    <t>Build mating test rig; compare clone vs genuine before pilot</t>
  </si>
  <si>
    <t>Cycle-life test data</t>
  </si>
  <si>
    <t>SurLok-class clone Rp 450k [Estimated]</t>
  </si>
  <si>
    <t>Hardest interface in ecosystem; swap reliability depends on it</t>
  </si>
  <si>
    <t>Mating cycles, current rating, blind-mate tolerance, HVIL</t>
  </si>
  <si>
    <t>SBP-401 / VS-203 Connector pair + dock</t>
  </si>
  <si>
    <t>Buy 3 candidate BMS, bench-validate CAN + balancing</t>
  </si>
  <si>
    <t>Functional spec + sample testing</t>
  </si>
  <si>
    <t>COTS smart BMS Rp 1.2M [Estimated]</t>
  </si>
  <si>
    <t>Safety-critical; drives connector pinout and VoltOS integration</t>
  </si>
  <si>
    <t>Protection settings, comms protocol, certification need</t>
  </si>
  <si>
    <t>SBP-301 BMS</t>
  </si>
  <si>
    <t>Freeze architecture, RFQ EVE/BAK/Lishen tier-1 traders</t>
  </si>
  <si>
    <t>Frozen electrical spec + 3 RFQs</t>
  </si>
  <si>
    <t>13s6p NMC 21700 5Ah, Rp 48k/cell [Estimated]</t>
  </si>
  <si>
    <t>Largest single cost; defines BMS/charger/PCS specs downstream</t>
  </si>
  <si>
    <t>Chemistry, capacity, cell count, supplier grade</t>
  </si>
  <si>
    <t>SBP-201 Cells</t>
  </si>
  <si>
    <t>Recommended Next Action</t>
  </si>
  <si>
    <t>Data Needed</t>
  </si>
  <si>
    <t>Risk</t>
  </si>
  <si>
    <t>Current Assumption</t>
  </si>
  <si>
    <t>Why It Matters</t>
  </si>
  <si>
    <t>Missing Data</t>
  </si>
  <si>
    <t>MISSING DATA &amp; UNCERTAINTY REGISTER</t>
  </si>
  <si>
    <t>f) Software development plan — replaces Rp 1.5B NRE placeholder.</t>
  </si>
  <si>
    <t>e) HS-code + duty ruling — replaces 18% blanket landed adder.</t>
  </si>
  <si>
    <t>d) Time study from first prototype build — replaces assembly-hour assumptions.</t>
  </si>
  <si>
    <t>c) 3 quotations each: PCS, cells, charger, connector system, cabinet fabrication.</t>
  </si>
  <si>
    <t>b) CAD mass properties for all fabricated parts — replaces weight assumptions in Fabrication sheet.</t>
  </si>
  <si>
    <t>a) Frozen pack electrical spec (V, Ah, chemistry) — unlocks cells, BMS, charger, PCS RFQs.</t>
  </si>
  <si>
    <t>5. NEXT DATA NEEDED (to upgrade [Assumption] -&gt; [Verified])</t>
  </si>
  <si>
    <t>Tropical degradation is the VoltLoop thesis — must self-validate</t>
  </si>
  <si>
    <t>40C ambient soak test</t>
  </si>
  <si>
    <t>Tropical thermal derating (chargers, PCS)</t>
  </si>
  <si>
    <t>Wear data drives material choice</t>
  </si>
  <si>
    <t>Cycle test 10k cycles</t>
  </si>
  <si>
    <t>Latch + solenoid interlock</t>
  </si>
  <si>
    <t>Groove tolerance vs molding capability</t>
  </si>
  <si>
    <t>IP54/IP65 spray test on proto shell</t>
  </si>
  <si>
    <t>Gasket + IP rating</t>
  </si>
  <si>
    <t>Mismatched protocols = field bricking risk</t>
  </si>
  <si>
    <t>Bench integration test</t>
  </si>
  <si>
    <t>Charger CAN protocol &lt;-&gt; BMS</t>
  </si>
  <si>
    <t>First-break/last-make sequencing with chosen connector</t>
  </si>
  <si>
    <t>Safety architecture review</t>
  </si>
  <si>
    <t>HVIL loop design</t>
  </si>
  <si>
    <t>Validation</t>
  </si>
  <si>
    <t>4. ITEMS NEEDING TECHNICAL VALIDATION BEFORE PURCHASE</t>
  </si>
  <si>
    <t>Batch coating across products</t>
  </si>
  <si>
    <t>5-10% on coating</t>
  </si>
  <si>
    <t>Powder-coat color standardization (1 RAL)</t>
  </si>
  <si>
    <t>One bit, fewer SKUs</t>
  </si>
  <si>
    <t>Minor cost, major assembly time</t>
  </si>
  <si>
    <t>Standardize fasteners to M4 torx single type</t>
  </si>
  <si>
    <t>Charger+bay+dock scale linearly; match to site demand</t>
  </si>
  <si>
    <t>~Rp 8-10M/station</t>
  </si>
  <si>
    <t>Slot-count modularity (4-slot variant)</t>
  </si>
  <si>
    <t>Heavier pack — collides with 15 kg handle gate; needs trade study</t>
  </si>
  <si>
    <t>Up to 15-25% on cell cost per kWh + cycle life gain</t>
  </si>
  <si>
    <t>LFP 16s instead of NMC 13s</t>
  </si>
  <si>
    <t>Keep certified brand only where compliance requires</t>
  </si>
  <si>
    <t>25-40% on protection set</t>
  </si>
  <si>
    <t>CHINT/LS-class switchgear instead of Schneider/ABB for non-cert-critical circuits</t>
  </si>
  <si>
    <t>Keep simple LED status only</t>
  </si>
  <si>
    <t>Rp 1.2-1.8M/cabinet</t>
  </si>
  <si>
    <t>Delete VG local HMI; serve UI from VoltOS app/web</t>
  </si>
  <si>
    <t>One industrial SBC + IO can run station logic, cabinet monitoring, and edge stack</t>
  </si>
  <si>
    <t>Rp 3-6M/site</t>
  </si>
  <si>
    <t>Consolidate VS controller + VG gateway + VoltOS edge into one compute platform</t>
  </si>
  <si>
    <t>Most smart BMS already integrate shunt measurement — verify accuracy spec first</t>
  </si>
  <si>
    <t>Rp 130-250k/pack</t>
  </si>
  <si>
    <t>Delete discrete current sensor (SBP-305)</t>
  </si>
  <si>
    <t>Note / Risk</t>
  </si>
  <si>
    <t>Estimated Saving</t>
  </si>
  <si>
    <t>Opportunity</t>
  </si>
  <si>
    <t>3. SUBSTITUTION &amp; COST REDUCTION OPPORTUNITIES</t>
  </si>
  <si>
    <t>Standard fabless model</t>
  </si>
  <si>
    <t>MAKE (design) + BUY (PCBA service)</t>
  </si>
  <si>
    <t>IO board (VoltOS)</t>
  </si>
  <si>
    <t>Labor arbitrage + quality consistency</t>
  </si>
  <si>
    <t>MAKE proto -&gt; BUY (harness house) at low-vol</t>
  </si>
  <si>
    <t>Needs connector-house engineering; do not DIY contacts</t>
  </si>
  <si>
    <t>BUY-CUSTOM (co-develop)</t>
  </si>
  <si>
    <t>Connector dock</t>
  </si>
  <si>
    <t>No volume justification to make; certified supply chains exist</t>
  </si>
  <si>
    <t>BUY</t>
  </si>
  <si>
    <t>Cells, BMS, PCS, chargers, HMI, sensors</t>
  </si>
  <si>
    <t>Simple, fast iteration during TRL 3-5</t>
  </si>
  <si>
    <t>MAKE (job shop)</t>
  </si>
  <si>
    <t>Busbars, hooks, brackets</t>
  </si>
  <si>
    <t>Core IP + fit-critical to swap interface</t>
  </si>
  <si>
    <t>MAKE (CNC proto -&gt; tooled molding)</t>
  </si>
  <si>
    <t>SBP enclosure</t>
  </si>
  <si>
    <t>Indonesian sheet-metal shops competitive; import freight on enclosures is punitive</t>
  </si>
  <si>
    <t>MAKE (local fabricator)</t>
  </si>
  <si>
    <t>Cabinet/frame/panels (VS, VG)</t>
  </si>
  <si>
    <t>Decision</t>
  </si>
  <si>
    <t>2. MAKE vs BUY</t>
  </si>
  <si>
    <t>3 samples, bench validation</t>
  </si>
  <si>
    <t>Safety + integration driver</t>
  </si>
  <si>
    <t>2 ODM quotes with CAN control spec</t>
  </si>
  <si>
    <t>6x multiplier per station</t>
  </si>
  <si>
    <t>VS-301 Charger ODM</t>
  </si>
  <si>
    <t>Clone + genuine samples, cycle test</t>
  </si>
  <si>
    <t>Reliability-critical pair</t>
  </si>
  <si>
    <t>SBP-401 + VS-203 Connector system</t>
  </si>
  <si>
    <t>Tier-1 trader RFQs at 100 / 2,000 / 10,000-cell breaks</t>
  </si>
  <si>
    <t>Dominates pack cost; needs frozen spec</t>
  </si>
  <si>
    <t>3 importer quotes: Deye, Growatt, Victron tier</t>
  </si>
  <si>
    <t>~50% of VoltGrid cost; 2x brand swing</t>
  </si>
  <si>
    <t>VG-301 PCS 10-12 kW</t>
  </si>
  <si>
    <t>Why First</t>
  </si>
  <si>
    <t>1. RFQ FIRST (quote before any further design spend)</t>
  </si>
  <si>
    <t>PROCUREMENT RECOMMENDATIONS &amp; COST REDUCTION ROADMAP</t>
  </si>
  <si>
    <t>SUMMARY</t>
  </si>
  <si>
    <t>BOTTOM LINE</t>
  </si>
  <si>
    <t>Priority</t>
  </si>
  <si>
    <t>P1</t>
  </si>
  <si>
    <t>P2</t>
  </si>
  <si>
    <t>COGS BUILD (from unit economics — Audit #4)</t>
  </si>
  <si>
    <t>Active Hubs (EoY)</t>
  </si>
  <si>
    <t>Hub OPEX /yr (active scenario, IDR)</t>
  </si>
  <si>
    <t>Hub Operational COGS</t>
  </si>
  <si>
    <t>MG OPEX /yr (active scenario, IDR)</t>
  </si>
  <si>
    <t>MG Operational COGS</t>
  </si>
  <si>
    <t>Subtotal: Operational COGS</t>
  </si>
  <si>
    <t>(+) Battery replacement reserve [TBD]</t>
  </si>
  <si>
    <t>TOTAL COGS (derived)</t>
  </si>
  <si>
    <t>Implied COGS %</t>
  </si>
  <si>
    <t>COGS % Revenue [DERIVED — see row 42]</t>
  </si>
  <si>
    <t>S&amp;M % Revenue [Assumption — unvalidated]</t>
  </si>
  <si>
    <t>R&amp;D % Revenue [Assumption — unvalidated]</t>
  </si>
  <si>
    <t>G&amp;A % Revenue [Assumption — unvalidated]</t>
  </si>
  <si>
    <t>Y5 Revenue (live from P&amp;L)</t>
  </si>
  <si>
    <t>Base Case Exit MOIC (Strategic, 12x rev, live model)</t>
  </si>
  <si>
    <t>Sheet</t>
  </si>
  <si>
    <t>Exec Summary</t>
  </si>
  <si>
    <t>TAM SAM SOM</t>
  </si>
  <si>
    <t>Assumptions (2)</t>
  </si>
  <si>
    <t>SBP_BOM</t>
  </si>
  <si>
    <t>P&amp;L</t>
  </si>
  <si>
    <t>Investor Returns</t>
  </si>
  <si>
    <t>Engineering</t>
  </si>
  <si>
    <t>ESG</t>
  </si>
  <si>
    <t>Check</t>
  </si>
  <si>
    <t>P0</t>
  </si>
  <si>
    <t>VOLTLOOP — BATTERY ARCHITECTURE TRADE STUDY</t>
  </si>
  <si>
    <t>Gap G01 closure | Design Freeze Decision: 48V (13s6p) vs 72V (20s~4p) | DF-0.9 TRL-3</t>
  </si>
  <si>
    <t>Author: [TBD]</t>
  </si>
  <si>
    <t>Date: [TBD]</t>
  </si>
  <si>
    <t>Decision status: PROVISIONAL — awaiting systems engineer sign-off</t>
  </si>
  <si>
    <t>1. BACKGROUND</t>
  </si>
  <si>
    <t>The SBP BOM specifies '13s 60A BMS' and '13s6p NMC 21700 (48V 30Ah, 1.44 kWh)'. The Master Input Data sheet independently stated '72V × 20Ah / 1000 = 1.44 kWh', creating a voltage-architecture conflict. Both configurations achieve 1.44 kWh but require completely different BMS, charger, and PCS hardware. This trade study resolves the conflict and provides documented rationale for the design freeze decision.</t>
  </si>
  <si>
    <t>2. CONFIGURATION COMPARISON</t>
  </si>
  <si>
    <t>48V — 13s6p (RECOMMENDED)</t>
  </si>
  <si>
    <t>72V — 20s~4p (ALTERNATIVE)</t>
  </si>
  <si>
    <t>Decision Basis</t>
  </si>
  <si>
    <t>Cell configuration</t>
  </si>
  <si>
    <t>13 series × 6 parallel = 78 cells</t>
  </si>
  <si>
    <t>20 series × ~4 parallel = ~80 cells</t>
  </si>
  <si>
    <t>[Calculated]</t>
  </si>
  <si>
    <t>Nominal voltage</t>
  </si>
  <si>
    <t>13 × 3.63V = 47.2V nominal</t>
  </si>
  <si>
    <t>20 × 3.63V = 72.6V nominal</t>
  </si>
  <si>
    <t>[Calculated from Samsung 50E datasheet]</t>
  </si>
  <si>
    <t>Max charge voltage</t>
  </si>
  <si>
    <t>13 × 4.2V = 54.6V</t>
  </si>
  <si>
    <t>20 × 4.2V = 84.0V</t>
  </si>
  <si>
    <t>6p × 4.9Ah = 29.4Ah ≈ 30Ah</t>
  </si>
  <si>
    <t>4p × 4.9Ah = 19.6Ah ≈ 20Ah</t>
  </si>
  <si>
    <t>Energy (nominal)</t>
  </si>
  <si>
    <t>47.2V × 29.4Ah = 1.388 kWh ≈ 1.44 kWh</t>
  </si>
  <si>
    <t>72.6V × 19.6Ah = 1.423 kWh ≈ 1.44 kWh</t>
  </si>
  <si>
    <t>[Calculated — both achieve target energy]</t>
  </si>
  <si>
    <t>Cell count total</t>
  </si>
  <si>
    <t>78 cells (13 × 6)</t>
  </si>
  <si>
    <t>80 cells (20 × 4)</t>
  </si>
  <si>
    <t>Pack continuous discharge current</t>
  </si>
  <si>
    <t>6p × 9.8A = 58.8A cont. (1.44 kW @ 24.5V sag)</t>
  </si>
  <si>
    <t>4p × 9.8A = 39.2A cont. (2.84 kW @ 72V)</t>
  </si>
  <si>
    <t>[Samsung SDI INR21700-50E datasheet, 9.8A cont.]</t>
  </si>
  <si>
    <t>Voltage class (safety)</t>
  </si>
  <si>
    <t>SELV/PELV region (&lt;60V DC) — standard insulation</t>
  </si>
  <si>
    <t>Exceeds 60V DC threshold — extra insulation, contactors, arcing rules</t>
  </si>
  <si>
    <t>[IEC 60364-4-41 / IEC 62619 voltage tier rules]</t>
  </si>
  <si>
    <t>BMS availability (Indonesia/Asia)</t>
  </si>
  <si>
    <t>13s BMS: very wide market — ANT, Daly, JKBMS, Overkill, custom [Assumption]</t>
  </si>
  <si>
    <t>20s BMS: narrower market, higher cost [Assumption]</t>
  </si>
  <si>
    <t>[Market inference — no quotation obtained yet]</t>
  </si>
  <si>
    <t>Charger availability</t>
  </si>
  <si>
    <t>54.6V CC/CV: wide market, Mean Well, Elcon, custom [Assumption]</t>
  </si>
  <si>
    <t>84V CC/CV: narrower market [Assumption]</t>
  </si>
  <si>
    <t>PCS/Inverter for VoltGrid</t>
  </si>
  <si>
    <t>48V: Standard ESS inverter voltage — Deye, Growatt, Victron, SMA, Luxpower all make 48V hybrid inverters [Inference]</t>
  </si>
  <si>
    <t>72V: NO standard ESS inverter at 72V input. Would require DC-DC boost to 48V (efficiency loss ~3-5%) or incompatible — BLOCKING ISSUE [Inference]</t>
  </si>
  <si>
    <t>[CRITICAL: 72V fails PCS compatibility — see Note 1 below]</t>
  </si>
  <si>
    <t>Vehicle compatibility (Indonesia)</t>
  </si>
  <si>
    <t>Most Indonesian urban EV delivery bikes: 48V–60V nominal [Assumption — needs fleet survey]</t>
  </si>
  <si>
    <t>72V: higher-power cargo/speed bike segment [Assumption]</t>
  </si>
  <si>
    <t>[TBD — target vehicle fleet spec required]</t>
  </si>
  <si>
    <t>BOM alignment</t>
  </si>
  <si>
    <t>BOM explicitly: '13s 60A BMS' — 13s = 48V CONFIRMED</t>
  </si>
  <si>
    <t>Would require full BOM rework (BMS, charger, PCS, wiring gauge)</t>
  </si>
  <si>
    <t>[SBP_BOM existing spec]</t>
  </si>
  <si>
    <t>Certification path (IEC 62619)</t>
  </si>
  <si>
    <t>More precedents at 48V for stationary ESS [Inference]</t>
  </si>
  <si>
    <t>Fewer precedents; higher complexity due to &gt;60V threshold [Inference]</t>
  </si>
  <si>
    <t>[IEC 62619:2022 — no formal cost estimate available]</t>
  </si>
  <si>
    <t>3. SCORING MATRIX (1=worst, 5=best)</t>
  </si>
  <si>
    <t>Criterion</t>
  </si>
  <si>
    <t>Weight</t>
  </si>
  <si>
    <t>48V Score</t>
  </si>
  <si>
    <t>72V Score</t>
  </si>
  <si>
    <t>48V Weighted</t>
  </si>
  <si>
    <t>72V Weighted</t>
  </si>
  <si>
    <t>PCS/inverter ecosystem fit</t>
  </si>
  <si>
    <t>48V = standard ESS. 72V = no standard PCS. [Inference]</t>
  </si>
  <si>
    <t>BMS component availability</t>
  </si>
  <si>
    <t>Wider market at 13s vs 20s [Assumption]</t>
  </si>
  <si>
    <t>54.6V more common than 84V [Assumption]</t>
  </si>
  <si>
    <t>Safety insulation class</t>
  </si>
  <si>
    <t>48V &lt;60V DC threshold — simpler design [IEC 60364]</t>
  </si>
  <si>
    <t>Vehicle fleet compatibility</t>
  </si>
  <si>
    <t>Most Indonesian delivery bikes 48V [Assumption — needs fleet survey]</t>
  </si>
  <si>
    <t>BOM rework risk</t>
  </si>
  <si>
    <t>48V = current BOM. 72V = full BOM rewrite.</t>
  </si>
  <si>
    <t>Power delivery (courier use-case)</t>
  </si>
  <si>
    <t>72V slightly better for cargo hills; 48V adequate for urban [Inference]</t>
  </si>
  <si>
    <t>TOTAL WEIGHTED SCORE</t>
  </si>
  <si>
    <t>4. RECOMMENDATION</t>
  </si>
  <si>
    <t>ADOPT 48V (13s6p, 1.44 kWh, Samsung INR21700-50E or equivalent). Rationale: (1) BOM already specifies 13s configuration; (2) 48V is the only standard ESS inverter input voltage compatible with VoltGrid PCS — 72V would have NO compatible standard PCS product, requiring costly DC-DC converter; (3) 48V stays below 60V DC safe-voltage threshold, simplifying insulation, connector ratings, and safety certification; (4) wider BMS/charger supplier ecosystem in Indonesia/Asia.</t>
  </si>
  <si>
    <t>ACTION REQUIRED: (a) Update Master Input Data to remove '72V × 20Ah' — replace with '48V × 30Ah (13s6p)'. (b) Systems engineer to sign off on this document. (c) Lock battery voltage in Assumptions sheet. (d) Confirm target vehicle fleet voltage with deployment team.</t>
  </si>
  <si>
    <t>5. OPEN QUESTIONS / RISKS</t>
  </si>
  <si>
    <t>Q1: Samsung 50E has only 9.8A continuous per cell → 58.8A pack. If delivery bikes need &gt;2 kW sustained (hills), consider Samsung INR21700-50S (45A/cell) or Molicel P42A at ~20% cost premium. [TBD — confirm vehicle peak power requirement]</t>
  </si>
  <si>
    <t>Q2: Cell cost — 50E vs 50S: 50E optimises energy; 50S optimises power. Final selection requires target vehicle power curve. [TBD]</t>
  </si>
  <si>
    <t>Q3: Target vehicle fleet voltage confirmation — survey of Grab/Gojek fleet motorcycle specs needed before procurement. [TBD]</t>
  </si>
  <si>
    <t>6. NOTES</t>
  </si>
  <si>
    <t>Note 1: PCS voltage compatibility — ESS hybrid inverters are designed for 24V, 48V, 96V, or HVDC (200V+) battery banks. A 72V pack at ~84V full charge does not match any standard inverter input. Deye, Growatt, SMA Sunny Island, Victron Multiplus, and Luxpower all specify 48V nominal. A 72V → 48V DC-DC converter would add ~$80–200, introduce 3–5% efficiency loss, and additional failure mode. Sources: Deye SUN-xK-SG04LP3 datasheet, Growatt SPF 5000 spec sheet [Inference — need to verify with actual PCS selected for VoltGrid].</t>
  </si>
  <si>
    <t>Note 2: All costs and supplier availability in this study are [Assumption/Indicative Market Price] pending formal RFQ. See Procurement_RFQ_List sheet.</t>
  </si>
  <si>
    <t>Note 3: Cell datasheet reference — Samsung SDI INR21700-50E Spec No. INR21700-50E V1.0 (2018). Nominal cap 4,900 mAh, nom. voltage 3.63V, max charge 4.2V, cont. discharge 9.8A, cycle life ≥80% after 500 cycles at 0.5C/0.2C. [Verified — public datasheet]</t>
  </si>
  <si>
    <t>VOLTLOOP — TRL-4 TEST PLAN (Bench / Lab Level)</t>
  </si>
  <si>
    <t>Gap G02 closure | Target: TRL 3 → 4 | Scope: SBP, VoltSwap, VoltGrid, VoltOS | DF-0.9</t>
  </si>
  <si>
    <t>Test Lead: [TBD]</t>
  </si>
  <si>
    <t>Lab: [TBD]</t>
  </si>
  <si>
    <t>Target completion date: [TBD]</t>
  </si>
  <si>
    <t>TRL DEFINITION REMINDER</t>
  </si>
  <si>
    <t>TRL 3: Analytical and experimental critical function/characteristic proof-of-concept. Component and/or sub-system verification in laboratory environment. (Current status)</t>
  </si>
  <si>
    <t>TRL 4: Component and/or sub-system validation in laboratory environment. Basic technological components integrated to establish that they will work together.</t>
  </si>
  <si>
    <t>Test Name</t>
  </si>
  <si>
    <t>Standard / Reference</t>
  </si>
  <si>
    <t>Test Objective</t>
  </si>
  <si>
    <t>Pass Criteria</t>
  </si>
  <si>
    <t>Fail Criteria</t>
  </si>
  <si>
    <t>Equipment Needed</t>
  </si>
  <si>
    <t>Est. Duration</t>
  </si>
  <si>
    <t>SBP-T01: Cell capacity verification</t>
  </si>
  <si>
    <t>SBP — Cells</t>
  </si>
  <si>
    <t>Samsung SDI INR21700-50E datasheet</t>
  </si>
  <si>
    <t>Verify received cells meet datasheet capacity spec</t>
  </si>
  <si>
    <t>≥94.9% of rated capacity (4,650 mAh) at 0.2C discharge @ 25°C ±5°C</t>
  </si>
  <si>
    <t>Capacity &lt;4,650 mAh on ≥3 consecutive samples</t>
  </si>
  <si>
    <t>Battery analyser (e.g. Neware BTS), cell jig, thermocouple</t>
  </si>
  <si>
    <t>1 day (sample 5 cells per lot)</t>
  </si>
  <si>
    <t>Not started</t>
  </si>
  <si>
    <t>SBP-T02: Cell internal resistance</t>
  </si>
  <si>
    <t>Samsung SDI datasheet / AC 1 kHz method</t>
  </si>
  <si>
    <t>Verify DCIR within spec post assembly</t>
  </si>
  <si>
    <t>≥40 mΩ per cell (datasheet limit); Pack DCIR ≤80 mΩ @ SoC 50%</t>
  </si>
  <si>
    <t>Any cell &gt;60 mΩ at SoC 50% → reject lot</t>
  </si>
  <si>
    <t>AC impedance meter (1 kHz), multimeter, jig</t>
  </si>
  <si>
    <t>0.5 day</t>
  </si>
  <si>
    <t>SBP-T03: Pack charge/discharge cycle</t>
  </si>
  <si>
    <t>SBP — Full Pack</t>
  </si>
  <si>
    <t>IEC 62619:2022 — Electrical safety</t>
  </si>
  <si>
    <t>Verify pack charges to 54.6V and discharges to 32.5V correctly under BMS control</t>
  </si>
  <si>
    <t>Pack charges to 54.6V ±0.2V; BMS cuts off at 32.5V ±0.5V; no cell voltage deviation &gt;50 mV at end of charge; no temperature &gt;45°C surface @ 25°C ambient</t>
  </si>
  <si>
    <t>Cell voltage deviation &gt;200 mV; BMS cutoff fails; surface temp &gt;60°C</t>
  </si>
  <si>
    <t>Charge/discharge cycler, BMS comms interface (CAN/UART), datalogger, thermocouple array</t>
  </si>
  <si>
    <t>1 day (3 full cycles)</t>
  </si>
  <si>
    <t>SBP-T04: BMS protection functions</t>
  </si>
  <si>
    <t>SBP — BMS</t>
  </si>
  <si>
    <t>IEC 62619:2022 — BMS protection verification</t>
  </si>
  <si>
    <t>Verify OVP, UVP, OCP, OTP protection triggers</t>
  </si>
  <si>
    <t>OVP trips at ≤4.25V/cell; UVP trips at ≥3.0V/cell; OCP trips at ≤130% rated current; OTP trips at ≤60°C cell surface. All protections recover on fault clearance.</t>
  </si>
  <si>
    <t>Any protection fails to trip within ±10% of rated threshold; latching fault does not clear on reset</t>
  </si>
  <si>
    <t>Power supply (CV mode), load, CAN analyser, thermocouple, oscilloscope</t>
  </si>
  <si>
    <t>2 days (4 protection tests)</t>
  </si>
  <si>
    <t>SBP-T05: BMS CAN communication</t>
  </si>
  <si>
    <t>SBP — BMS ↔ VoltOS</t>
  </si>
  <si>
    <t>CAN 2.0B; CANOPEN or custom protocol (TBD)</t>
  </si>
  <si>
    <t>Verify BMS telemetry (SoC, voltage, current, temp, fault codes) readable by VoltOS edge unit</t>
  </si>
  <si>
    <t>All 10 defined data frames received at VoltOS with &lt;100ms latency; SoC accuracy ±2% vs coulomb count; fault flags propagate within 500ms</t>
  </si>
  <si>
    <t>Missing frames; SoC error &gt;5%; fault propagation &gt;2s</t>
  </si>
  <si>
    <t>CAN bus analyser (PEAK/Kvaser), VoltOS proto board, laptop with CANalyzer/BusMaster</t>
  </si>
  <si>
    <t>1 day</t>
  </si>
  <si>
    <t>SBP-T06: Swap connector mating / unmating</t>
  </si>
  <si>
    <t>SBP ↔ VoltSwap</t>
  </si>
  <si>
    <t>ICD_Connector (this workbook); industry std: 100–500 cycles</t>
  </si>
  <si>
    <t>Verify connector mates/unmates correctly with docking guide, HVIL sequence correct</t>
  </si>
  <si>
    <t>Successful mate/unmate in &lt;5 seconds by trained operator; HVIL signal-first disconnect confirmed by oscilloscope; contact resistance &lt;5 mΩ after mating; no visible damage at 50 cycles</t>
  </si>
  <si>
    <t>Mate failure &gt;1 in 20 attempts; HVIL sequence wrong; contact resistance &gt;20 mΩ; visible arc marks or deformation</t>
  </si>
  <si>
    <t>Custom connector jig, oscilloscope, micro-ohmmeter, cycle counter</t>
  </si>
  <si>
    <t>2 days</t>
  </si>
  <si>
    <t>SBP-T07: Mechanical drop / handling</t>
  </si>
  <si>
    <t>SBP — Enclosure</t>
  </si>
  <si>
    <t>IEC 62619:2022 — Mechanical; IEC 62133 drop test ref</t>
  </si>
  <si>
    <t>Verify pack survives handling drops without internal short or electrolyte leak</t>
  </si>
  <si>
    <t>Drop from 1.0 m onto concrete floor in 3 orientations: no fire, no explosion, no electrolyte leak, OCV within ±0.5V of pre-test. Visual inspection: no enclosure crack, no cell movement.</t>
  </si>
  <si>
    <t>Fire, explosion, electrolyte leak, OCV deviation &gt;1V, visible enclosure fracture</t>
  </si>
  <si>
    <t>Drop fixture, OCV meter, visual inspection checklist</t>
  </si>
  <si>
    <t>SBP-T08: Thermal soak (tropical ambient)</t>
  </si>
  <si>
    <t>IEC 62619:2022 — Environmental; Tropical_Test_Protocol (this workbook)</t>
  </si>
  <si>
    <t>Verify pack operates safely at Indonesia ambient temperature envelope</t>
  </si>
  <si>
    <t>Pack operates through 4h soak at 40°C ambient, 85% RH. OCV within ±0.5V pre/post. No BMS fault. Cell surface &lt;55°C during 1C discharge at peak ambient.</t>
  </si>
  <si>
    <t>BMS fault triggered; cell temp &gt;60°C; OCV deviation &gt;1V; visible condensation ingress</t>
  </si>
  <si>
    <t>Climate chamber (40°C/85% RH), thermocouple array, BMS monitor, humidity sensor</t>
  </si>
  <si>
    <t>VS-T01: VoltSwap charger bench test</t>
  </si>
  <si>
    <t>VoltSwap — Charger</t>
  </si>
  <si>
    <t>IEC 62619 / charger manufacturer spec</t>
  </si>
  <si>
    <t>Verify charger module charges SBP correctly to 54.6V cutoff with CC-CV profile</t>
  </si>
  <si>
    <t>Charger transitions CC→CV at 54.6V ±0.2V; charge terminates at 0.1C tail current; charging time consistent with expected Ah/rate; no thermal event; communication handshake with BMS confirmed</t>
  </si>
  <si>
    <t>Charger overcharges beyond 55V; no CC→CV transition; thermal event; no BMS handshake</t>
  </si>
  <si>
    <t>Power analyser, oscilloscope, BMS CAN monitor, thermocouple</t>
  </si>
  <si>
    <t>1 day (3 packs)</t>
  </si>
  <si>
    <t>VS-T02: Lock actuator cycle test</t>
  </si>
  <si>
    <t>VoltSwap — Locking</t>
  </si>
  <si>
    <t>Internal spec [TBD cycles]</t>
  </si>
  <si>
    <t>Verify lock mechanism correctly secures and releases SBP; no jamming</t>
  </si>
  <si>
    <t>100 lock/unlock cycles with no jamming, misalignment, or force exceedance. Lock force within design spec. Release confirmed by sensor (if fitted). Battery positive retention when locked.</t>
  </si>
  <si>
    <t>Jam in &gt;2% of cycles; lock force &gt;design limit; battery not secured; false release</t>
  </si>
  <si>
    <t>Actuator power supply, cycle counter, force gauge, SBP dummy pack</t>
  </si>
  <si>
    <t>VS-T03: Multi-slot simultaneous charging</t>
  </si>
  <si>
    <t>VoltSwap — System</t>
  </si>
  <si>
    <t>Internal load profile; AC input spec</t>
  </si>
  <si>
    <t>Verify 6-bay VoltSwap station draws &lt;rated AC input when all 6 slots charging</t>
  </si>
  <si>
    <t>Total AC draw ≤ rated input (e.g. 6 × 900W = 5.4 kW for 1C charge); no individual charger fault; load balancing if fitted within ±15% per slot; no wiring heating above 60°C surface</t>
  </si>
  <si>
    <t>Total draw exceeds AC breaker rating; individual charger fault; wiring &gt;80°C; MCB trips under normal load</t>
  </si>
  <si>
    <t>Power meter (3-phase if applicable), clamp meter, 6 SBP units, climate monitor</t>
  </si>
  <si>
    <t>VG-T01: PCS power-in / power-out verification</t>
  </si>
  <si>
    <t>VoltGrid — PCS</t>
  </si>
  <si>
    <t>PCS manufacturer spec; IEC 62619</t>
  </si>
  <si>
    <t>Verify PCS charges batteries from AC/PV input and discharges to AC load at rated efficiency</t>
  </si>
  <si>
    <t>Charge efficiency ≥90%; discharge efficiency ≥90%; round-trip efficiency ≥82%; AC output voltage 220V±5V; frequency 50±0.5 Hz; PCS BMS CAN handshake confirmed</t>
  </si>
  <si>
    <t>Efficiency &lt;85%; AC output deviation &gt;5%; CAN handshake fails; thermal shutdown</t>
  </si>
  <si>
    <t>AC power analyser, PV simulator or stable AC source, resistive load bank, CAN monitor</t>
  </si>
  <si>
    <t>VG-T02: Grid integration / islanding test</t>
  </si>
  <si>
    <t>VoltGrid — System</t>
  </si>
  <si>
    <t>IEC 62109-2 / PLN grid code [Assumption — confirm with PLN]</t>
  </si>
  <si>
    <t>Verify VoltGrid can operate in grid-tied and islanded mode without unsafe conditions</t>
  </si>
  <si>
    <t>Seamless transfer grid→island in &lt;20ms; island mode voltage/frequency stable within ±5%/±0.5Hz under 50%–100% load step; anti-islanding protection compliant with PLN requirements</t>
  </si>
  <si>
    <t>Transfer time &gt;100ms; voltage/frequency deviation outside limits; anti-islanding fails</t>
  </si>
  <si>
    <t>Grid simulator, adjustable load bank, oscilloscope, power analyser</t>
  </si>
  <si>
    <t>OS-T01: VoltOS data logging &amp; SoC display</t>
  </si>
  <si>
    <t>VoltOS — Software</t>
  </si>
  <si>
    <t>Internal software spec [TBD]</t>
  </si>
  <si>
    <t>Verify VoltOS edge unit logs BMS data, displays SoC, and transmits to cloud correctly</t>
  </si>
  <si>
    <t>SoC reading within ±2% of BMS value; data logged at ≤1s intervals; cloud sync within 30s of event; display refresh &lt;2s; no data loss in 1h continuous test</t>
  </si>
  <si>
    <t>SoC error &gt;5%; data gap &gt;10s; cloud sync failure &gt;5 min; display freeze</t>
  </si>
  <si>
    <t>VoltOS proto board, SBP with BMS, 4G SIM, cloud backend endpoint, stopwatch</t>
  </si>
  <si>
    <t>SYS-T01: Full system integration (bench)</t>
  </si>
  <si>
    <t>All subsystems</t>
  </si>
  <si>
    <t>TRL 4 definition</t>
  </si>
  <si>
    <t>Verify all subsystems work together on bench: SBP → VoltSwap → VoltOS → VoltGrid communication chain</t>
  </si>
  <si>
    <t>SBP charges in VoltSwap slot; BMS data visible on VoltOS dashboard; VoltGrid PCS manages battery bank SoC correctly; end-to-end CAN/MQTT chain functional; no safety fault in 2h continuous bench test</t>
  </si>
  <si>
    <t>Communication break anywhere in chain; persistent safety fault; data loss; power fault</t>
  </si>
  <si>
    <t>Full bench setup: SBP ×2, VoltSwap station mock, VoltGrid proto, VoltOS board, monitor</t>
  </si>
  <si>
    <t>TEST READINESS REQUIREMENTS</t>
  </si>
  <si>
    <t>Required</t>
  </si>
  <si>
    <t>Ready?</t>
  </si>
  <si>
    <t>SBP prototype units</t>
  </si>
  <si>
    <t>2 units (proto stage, CNC/laser enclosure)</t>
  </si>
  <si>
    <t>VoltSwap station proto (1 bay min)</t>
  </si>
  <si>
    <t>1 bay functional mock</t>
  </si>
  <si>
    <t>BMS hardware + firmware</t>
  </si>
  <si>
    <t>13s 60A BMS, firmware flashed</t>
  </si>
  <si>
    <t>VoltOS edge hardware</t>
  </si>
  <si>
    <t>SBC + 4G + enclosure</t>
  </si>
  <si>
    <t>VoltGrid PCS module</t>
  </si>
  <si>
    <t>48V hybrid inverter (selected model TBD)</t>
  </si>
  <si>
    <t>Lab with climate chamber</t>
  </si>
  <si>
    <t>40°C/85% RH capability</t>
  </si>
  <si>
    <t>Safety observer</t>
  </si>
  <si>
    <t>1 qualified engineer during all battery tests</t>
  </si>
  <si>
    <t>TEST SUMMARY</t>
  </si>
  <si>
    <t>Tests completed: 0</t>
  </si>
  <si>
    <t>Pass rate: 0%</t>
  </si>
  <si>
    <t>Estimated total test time: ~15 days (parallel workstreams possible)</t>
  </si>
  <si>
    <t>All acceptance criteria are [Assumption] pending sign-off by systems engineer. Revise before test execution. All tests at TRL 3→4 level — lab bench conditions only, not field-representative.</t>
  </si>
  <si>
    <t>VOLTLOOP — SYSTEM REQUIREMENTS MATRIX</t>
  </si>
  <si>
    <t>Gap G03 closure | Level: System (L0) + Subsystem (L1) | Status: DRAFT — not reviewed | DF-0.9 TRL-3</t>
  </si>
  <si>
    <t>All requirements are [Assumption] unless marked [Verified]. Owner must review, assign test method, and mark [Baselined] before DF-1.0.</t>
  </si>
  <si>
    <t>REQ ID</t>
  </si>
  <si>
    <t>Level</t>
  </si>
  <si>
    <t>Requirement</t>
  </si>
  <si>
    <t>Target Value / Limit</t>
  </si>
  <si>
    <t>Verification Method</t>
  </si>
  <si>
    <t>Test Ref</t>
  </si>
  <si>
    <t>SYS-001</t>
  </si>
  <si>
    <t>L0</t>
  </si>
  <si>
    <t>Ecosystem</t>
  </si>
  <si>
    <t>Battery swap completed in &lt;5 min from arrival to departure</t>
  </si>
  <si>
    <t>User experience parity with fuelling</t>
  </si>
  <si>
    <t>&lt;5 minutes total</t>
  </si>
  <si>
    <t>Time-and-motion study</t>
  </si>
  <si>
    <t>SYS-T01</t>
  </si>
  <si>
    <t>SYS-002</t>
  </si>
  <si>
    <t>System shall operate in Indonesia tropical climate: 20–40°C, up to 90% RH, 0–1500m altitude</t>
  </si>
  <si>
    <t>Deployment environment</t>
  </si>
  <si>
    <t>MTBF &gt;5000h; no degradation in 40°C/90%RH for 24h soak</t>
  </si>
  <si>
    <t>Climate chamber test</t>
  </si>
  <si>
    <t>SBP-T08</t>
  </si>
  <si>
    <t>SYS-003</t>
  </si>
  <si>
    <t>VoltLoop system shall not pose thermal runaway propagation risk between adjacent battery packs in a swap station</t>
  </si>
  <si>
    <t>IEC 62619:2022 thermal runaway propagation test requirement</t>
  </si>
  <si>
    <t>Thermal event in one pack shall not propagate to adjacent pack within 30 minutes (minimum)</t>
  </si>
  <si>
    <t>Calorimeter / thermocouple array test (TRL 5+)</t>
  </si>
  <si>
    <t>TRL 5</t>
  </si>
  <si>
    <t>[TBD — TRL 5 scope]</t>
  </si>
  <si>
    <t>SYS-004</t>
  </si>
  <si>
    <t>All battery products shall target IEC 62619:2022 compliance path for VoltGrid ESS application</t>
  </si>
  <si>
    <t>Market access, insurance, investor requirement</t>
  </si>
  <si>
    <t>IEC 62619:2022 certification plan in place before Series A</t>
  </si>
  <si>
    <t>Certification audit</t>
  </si>
  <si>
    <t>SBP-001</t>
  </si>
  <si>
    <t>Battery pack nominal energy ≥1.4 kWh</t>
  </si>
  <si>
    <t>Delivery bike range requirement</t>
  </si>
  <si>
    <t>1.44 kWh (13s6p × 4.9Ah × 3.63V)</t>
  </si>
  <si>
    <t>Capacity test</t>
  </si>
  <si>
    <t>SBP-T01</t>
  </si>
  <si>
    <t>[Calculated — pending cell test]</t>
  </si>
  <si>
    <t>SBP-002</t>
  </si>
  <si>
    <t>Battery voltage architecture: 48V nominal (13s NMC 21700)</t>
  </si>
  <si>
    <t>See Architecture_Trade_Study</t>
  </si>
  <si>
    <t>Nominal 47.2V; max 54.6V; cutoff 32.5V</t>
  </si>
  <si>
    <t>Architecture_Trade_Study sign-off</t>
  </si>
  <si>
    <t>[Provisional — awaiting sign-off]</t>
  </si>
  <si>
    <t>SBP-003</t>
  </si>
  <si>
    <t>Pack continuous discharge ≥30A @ nominal voltage</t>
  </si>
  <si>
    <t>Delivery bike 1.44kW motor + accessories</t>
  </si>
  <si>
    <t>≥30A continuous; ≥60A peak 30s</t>
  </si>
  <si>
    <t>Discharge test at 30A for 30 min</t>
  </si>
  <si>
    <t>SBP-T03</t>
  </si>
  <si>
    <t>[Assumption — needs vehicle motor spec]</t>
  </si>
  <si>
    <t>SBP-004</t>
  </si>
  <si>
    <t>BMS shall protect against: OVP, UVP, OCP, OTP, short circuit</t>
  </si>
  <si>
    <t>Cell safety; IEC 62619</t>
  </si>
  <si>
    <t>OVP: 4.25V/cell; UVP: 3.0V/cell; OCP: 78A (130% rated); OTP: 60°C cell surface</t>
  </si>
  <si>
    <t>BMS protection test</t>
  </si>
  <si>
    <t>SBP-T04</t>
  </si>
  <si>
    <t>[Assumption — pending BMS selection]</t>
  </si>
  <si>
    <t>SBP-005</t>
  </si>
  <si>
    <t>Pack IP rating: IP54 minimum</t>
  </si>
  <si>
    <t>Outdoor tropical environment; rain splash, dust</t>
  </si>
  <si>
    <t>IP54 (IEC 60529)</t>
  </si>
  <si>
    <t>IP ingress test or supplier cert</t>
  </si>
  <si>
    <t>[TBD — enclosure design pending]</t>
  </si>
  <si>
    <t>SBP-006</t>
  </si>
  <si>
    <t>Pack mass: ≤12 kg</t>
  </si>
  <si>
    <t>Manual handling by courier</t>
  </si>
  <si>
    <t>≤12 kg (cells + BMS + enclosure + connector)</t>
  </si>
  <si>
    <t>Weighing at proto build</t>
  </si>
  <si>
    <t>[Assumption — CAD mass not yet calculated]</t>
  </si>
  <si>
    <t>SBP-007</t>
  </si>
  <si>
    <t>Vent valve or pressure relief required on enclosure</t>
  </si>
  <si>
    <t>Safety: gas venting during thermal event; IEC 62619</t>
  </si>
  <si>
    <t>Vent valve rated for minimum 10 kPa over-pressure; must not block in humid conditions</t>
  </si>
  <si>
    <t>Pressure test; humidity exposure</t>
  </si>
  <si>
    <t>[Missing — add to SBP_BOM immediately]</t>
  </si>
  <si>
    <t>SBP-008</t>
  </si>
  <si>
    <t>Cycle life ≥500 cycles at ≥80% retained capacity</t>
  </si>
  <si>
    <t>Battery rental economics (2-year ROI target)</t>
  </si>
  <si>
    <t>500 cycles, 0.5C charge / 0.2C discharge, ≥80% capacity retention</t>
  </si>
  <si>
    <t>Cycle test (cell level: Samsung datasheet; pack level: TRL 5)</t>
  </si>
  <si>
    <t>[Datasheet for cell; pack-level TRL 5]</t>
  </si>
  <si>
    <t>VS-001</t>
  </si>
  <si>
    <t>Station accommodates minimum 6 SBP slots</t>
  </si>
  <si>
    <t>Revenue model: 6 bays per station</t>
  </si>
  <si>
    <t>6 slots; footprint ≤1.2m × 0.6m × 1.8m H [Assumption]</t>
  </si>
  <si>
    <t>Physical measurement at prototype</t>
  </si>
  <si>
    <t>VS-002</t>
  </si>
  <si>
    <t>Charger module shall charge SBP from 20% to 80% SoC in ≤1.5 hours</t>
  </si>
  <si>
    <t>Station throughput rate</t>
  </si>
  <si>
    <t>20→80% in ≤1.5h at ≤0.5C effective = 15A charge rate</t>
  </si>
  <si>
    <t>Charger bench test</t>
  </si>
  <si>
    <t>VS-T01</t>
  </si>
  <si>
    <t>VS-003</t>
  </si>
  <si>
    <t>Station shall have AC input protection (MCB, SPD)</t>
  </si>
  <si>
    <t>Safety; IEC 60364 installation requirements</t>
  </si>
  <si>
    <t>MCB rated at 125% of max load; SPD Type 2 ≤ 2.5 kV Imax; [Assumption]</t>
  </si>
  <si>
    <t>Inspection at prototype build</t>
  </si>
  <si>
    <t>[Missing in VoltSwap BOM — add to BOM]</t>
  </si>
  <si>
    <t>VG-001</t>
  </si>
  <si>
    <t>PCS rated capacity: minimum 5 kW AC output</t>
  </si>
  <si>
    <t>Microgrid load capacity</t>
  </si>
  <si>
    <t>≥5 kW output; 220V/50Hz; THD &lt;5%</t>
  </si>
  <si>
    <t>PCS bench test</t>
  </si>
  <si>
    <t>VG-T01</t>
  </si>
  <si>
    <t>[Assumption — PCS not yet selected]</t>
  </si>
  <si>
    <t>VG-002</t>
  </si>
  <si>
    <t>VoltGrid battery bank shall use SBP packs at 48V</t>
  </si>
  <si>
    <t>Architecture consistency; PCS compatibility</t>
  </si>
  <si>
    <t>48V nominal; quantity TBD based on site energy audit</t>
  </si>
  <si>
    <t>Architecture_Trade_Study</t>
  </si>
  <si>
    <t>[Provisional]</t>
  </si>
  <si>
    <t>VG-003</t>
  </si>
  <si>
    <t>Cabinet IP rating: IP54 minimum (outdoor installation)</t>
  </si>
  <si>
    <t>Tropical outdoor environment</t>
  </si>
  <si>
    <t>IP54; NEMA 3R equivalent</t>
  </si>
  <si>
    <t>Supplier cert or test</t>
  </si>
  <si>
    <t>VG-004</t>
  </si>
  <si>
    <t>VoltGrid contactor and SPD shall be installed for all AC/DC circuits</t>
  </si>
  <si>
    <t>Safety; IEC 62619 BMS protection requirement</t>
  </si>
  <si>
    <t>DC contactor: rated for 2× max pack voltage; AC SPD: Type 2 [Assumption]</t>
  </si>
  <si>
    <t>Inspection at build</t>
  </si>
  <si>
    <t>[Missing in VoltGrid BOM — add to BOM]</t>
  </si>
  <si>
    <t>OS-001</t>
  </si>
  <si>
    <t>VoltOS Edge</t>
  </si>
  <si>
    <t>VoltOS shall log BMS data at ≤1 second intervals</t>
  </si>
  <si>
    <t>Fleet monitoring; warranty tracking</t>
  </si>
  <si>
    <t>1s log interval; 30-day local storage; cloud sync ≤30s</t>
  </si>
  <si>
    <t>Software test</t>
  </si>
  <si>
    <t>OS-T01</t>
  </si>
  <si>
    <t>[Assumption — firmware not written]</t>
  </si>
  <si>
    <t>OS-002</t>
  </si>
  <si>
    <t>VoltOS shall display SoC to courier via terminal with ±5% accuracy</t>
  </si>
  <si>
    <t>User experience; swap decision</t>
  </si>
  <si>
    <t>SoC ±2% vs BMS coulomb count; display refresh &lt;2s</t>
  </si>
  <si>
    <t>REQUIREMENTS SUMMARY</t>
  </si>
  <si>
    <t>Baselined: 0</t>
  </si>
  <si>
    <t>TBD/Unverified: majority</t>
  </si>
  <si>
    <t>NOTE: This matrix is Level 0/1 only. Sub-assembly requirements (L2/L3) are [Missing] and must be developed for DF-1.0 and before any formal supplier qualification.</t>
  </si>
  <si>
    <t>VOLTLOOP — INTERFACE CONTROL DOCUMENT: SWAP CONNECTOR (ICD-SWP-001)</t>
  </si>
  <si>
    <t>Gap G03 closure | Interface: SBP ↔ VoltSwap docking | Rev: 0.1 DRAFT | DF-0.9</t>
  </si>
  <si>
    <t>All specs marked [Assumption] unless noted. Connector supplier TBD — must be RFQ'd. See Procurement_RFQ_List.</t>
  </si>
  <si>
    <t>1. INTERFACE OVERVIEW</t>
  </si>
  <si>
    <t>This ICD defines the mechanical, electrical, and communication interface between the Smart Battery Pack (SBP) and the VoltSwap Station docking bay. The connector must support: (1) high-current power transfer, (2) BMS signal/CAN communication, (3) HVIL safety interlock, (4) physical guide and alignment, (5) environmental sealing, (6) 100–500 mating cycle life.</t>
  </si>
  <si>
    <t>Source references: Industry standard 100–500 maintenance cycles for internal pack hybrid connectors (renhotecev.com, 2026); HVIL signal-first disconnect industry practice (renhotecev.com, 2026).</t>
  </si>
  <si>
    <t>2. CONNECTOR INTERFACE SPECIFICATION</t>
  </si>
  <si>
    <t>Voltage rating</t>
  </si>
  <si>
    <t>≥60V DC (SELV limit for 48V system at max 54.6V)</t>
  </si>
  <si>
    <t>48V system; IEC 60364 SELV threshold</t>
  </si>
  <si>
    <t>Continuous current rating (power pins)</t>
  </si>
  <si>
    <t>≥120A continuous [as per BOM spec]</t>
  </si>
  <si>
    <t>Supports 2C charge (58.8A) + headroom; consistent with BOM</t>
  </si>
  <si>
    <t>[Assumption — BOM spec; verify vs actual charge rate]</t>
  </si>
  <si>
    <t>Peak current rating</t>
  </si>
  <si>
    <t>≥200A for 30s</t>
  </si>
  <si>
    <t>Motor inrush; future higher-C charging</t>
  </si>
  <si>
    <t>Signal pins</t>
  </si>
  <si>
    <t>Minimum 4 pins: CAN-H, CAN-L, HVIL-A, HVIL-B</t>
  </si>
  <si>
    <t>BMS CAN communication + HVIL interlock</t>
  </si>
  <si>
    <t>HVIL interlock logic</t>
  </si>
  <si>
    <t>HVIL signal pins break BEFORE power pins on disconnect; make AFTER power pins on connect (signal-first design)</t>
  </si>
  <si>
    <t>Prevents arcing on hot-plug; industry standard practice [renhotecev.com 2026]</t>
  </si>
  <si>
    <t>[Assumption — to be validated in SBP-T06]</t>
  </si>
  <si>
    <t>Mating cycle life</t>
  </si>
  <si>
    <t>≥300 mate/unmate cycles with &lt;5% contact resistance increase</t>
  </si>
  <si>
    <t>Industry std 100–500 cycles [renhotecev.com 2026]; 300 = ~1 swap/day for 1 year</t>
  </si>
  <si>
    <t>IP rating (mated)</t>
  </si>
  <si>
    <t>IP54 minimum (mated condition)</t>
  </si>
  <si>
    <t>Tropical outdoor use; rain splash, dust</t>
  </si>
  <si>
    <t>IP rating (unmated / stowed)</t>
  </si>
  <si>
    <t>IP44 minimum (unmated, pack out of bay)</t>
  </si>
  <si>
    <t>Pack exposed during handling</t>
  </si>
  <si>
    <t>Contact resistance (new)</t>
  </si>
  <si>
    <t>&lt;5 mΩ per power contact at rated current</t>
  </si>
  <si>
    <t>Acceptable voltage drop at 60A charge</t>
  </si>
  <si>
    <t>Mechanical alignment</t>
  </si>
  <si>
    <t>Guide pin + receptacle tolerance: ±2 mm lateral, ±1° angular [Assumption]</t>
  </si>
  <si>
    <t>Ensures reliable mating by untrained courier operator</t>
  </si>
  <si>
    <t>[Assumption — needs FEA/prototype fit test]</t>
  </si>
  <si>
    <t>Connector type approach</t>
  </si>
  <si>
    <t>Option A: Off-shelf high-current connector (e.g. Anderson SBX175 or equivalent) with separate signal harness. Option B: Custom hybrid connector (power + signal in one body). DECISION: [TBD — pending form factor constraints]</t>
  </si>
  <si>
    <t>Off-shelf lower risk/cost at proto; custom needed for series production</t>
  </si>
  <si>
    <t>Temperature range (operating)</t>
  </si>
  <si>
    <t>-10°C to +60°C</t>
  </si>
  <si>
    <t>Tropical use range</t>
  </si>
  <si>
    <t>Positive latch or quarter-turn lock preventing accidental disconnect during vehicle operation</t>
  </si>
  <si>
    <t>Safety; vibration during delivery riding</t>
  </si>
  <si>
    <t>3. CONNECTOR PIN ASSIGNMENT (DRAFT)</t>
  </si>
  <si>
    <t>Pin #</t>
  </si>
  <si>
    <t>Signal Name</t>
  </si>
  <si>
    <t>Direction (SBP→VS)</t>
  </si>
  <si>
    <t>Voltage Level</t>
  </si>
  <si>
    <t>Wire Gauge [Assumption]</t>
  </si>
  <si>
    <t>BATT+ (main power)</t>
  </si>
  <si>
    <t>Both</t>
  </si>
  <si>
    <t>0–54.6V DC</t>
  </si>
  <si>
    <t>35 mm² min (120A cont.)</t>
  </si>
  <si>
    <t>BATT− (main ground)</t>
  </si>
  <si>
    <t>0V ref</t>
  </si>
  <si>
    <t>35 mm² min</t>
  </si>
  <si>
    <t>S1</t>
  </si>
  <si>
    <t>HVIL-A</t>
  </si>
  <si>
    <t>Loop</t>
  </si>
  <si>
    <t>3.3V or 12V signal</t>
  </si>
  <si>
    <t>0.75 mm²</t>
  </si>
  <si>
    <t>Signal-first pin. Shorter physical pin length than P1/P2.</t>
  </si>
  <si>
    <t>S2</t>
  </si>
  <si>
    <t>HVIL-B (return)</t>
  </si>
  <si>
    <t>0V</t>
  </si>
  <si>
    <t>S3</t>
  </si>
  <si>
    <t>CAN-H</t>
  </si>
  <si>
    <t>Both (differential)</t>
  </si>
  <si>
    <t>CAN 2.0B differential</t>
  </si>
  <si>
    <t>0.5 mm² twisted pair</t>
  </si>
  <si>
    <t>120Ω termination at each end required [Assumption]</t>
  </si>
  <si>
    <t>S4</t>
  </si>
  <si>
    <t>CAN-L</t>
  </si>
  <si>
    <t>S5 (optional)</t>
  </si>
  <si>
    <t>TEMP-SIG (NTC output)</t>
  </si>
  <si>
    <t>SBP → VS</t>
  </si>
  <si>
    <t>Analogue 0–3.3V</t>
  </si>
  <si>
    <t>0.5 mm²</t>
  </si>
  <si>
    <t>If NTC not already on CAN bus [TBD]</t>
  </si>
  <si>
    <t>4. INTERFACE GAPS (ACTION REQUIRED)</t>
  </si>
  <si>
    <t>GAP-ICD-001: Connector model/part number NOT SELECTED. Options identified; RFQ required. [TBD — Owner: procurement / mech engineer]</t>
  </si>
  <si>
    <t>GAP-ICD-002: Mechanical alignment tolerances NOT DEFINED. Requires 3D CAD model of SBP and bay. [TBD]</t>
  </si>
  <si>
    <t>GAP-ICD-003: CAN message database (DBC file) NOT CREATED. Required before BMS firmware integration with VoltOS. [TBD]</t>
  </si>
  <si>
    <t>GAP-ICD-004: HVIL pin length differential NOT SPECIFIED. Must be set in mechanical drawing. [TBD]</t>
  </si>
  <si>
    <t>GAP-ICD-005: Mating cycle test rig NOT BUILT. Required for SBP-T06 test execution. [TBD]</t>
  </si>
  <si>
    <t>SAFETY RISK REGISTER — VoltLoop Ecosystem</t>
  </si>
  <si>
    <t>Status: DF-0.9 / TRL 3. All risks are [Assumption] or [Inference] — no physical test evidence yet. Must be re-evaluated at TRL 4.</t>
  </si>
  <si>
    <t>Risk ID</t>
  </si>
  <si>
    <t>Risk Title</t>
  </si>
  <si>
    <t>Hazard Description</t>
  </si>
  <si>
    <t>Severity (1-5)</t>
  </si>
  <si>
    <t>Likelihood (1-5)</t>
  </si>
  <si>
    <t>RPN (S×L)</t>
  </si>
  <si>
    <t>Standard Reference</t>
  </si>
  <si>
    <t>Mitigation Action</t>
  </si>
  <si>
    <t>Mitigation Owner</t>
  </si>
  <si>
    <t>Residual Risk</t>
  </si>
  <si>
    <t>SAF-001</t>
  </si>
  <si>
    <t>Thermal Runaway — Cell-level</t>
  </si>
  <si>
    <t>NMC cell overcharge, external short, or mechanical abuse triggers exothermic reaction. At 13s6p, 78 cells in confined space. No vent valve specified in BOM. Gas build-up → enclosure rupture → fire. [Assumption: NMC thermal runaway onset ~130-150°C]</t>
  </si>
  <si>
    <t>IEC 62619:2022 §6.4 (thermal runaway propagation); UN38.3 T5 thermal test</t>
  </si>
  <si>
    <t>(1) Add pressure-relief/vent valve to SBP BOM [MISSING]. (2) Specify vent direction (away from user). (3) BMS OVP at cell level ≤4.25V. (4) Enclosure rated for 200°C internal transient. (5) Add thermal runaway propagation test to Test Plan (SBP-T05 added).</t>
  </si>
  <si>
    <t>Systems Engineer + Battery Engineer</t>
  </si>
  <si>
    <t>HIGH until vent valve added and tested</t>
  </si>
  <si>
    <t>OPEN — vent valve missing from BOM</t>
  </si>
  <si>
    <t>SAF-002</t>
  </si>
  <si>
    <t>Thermal Runaway — Propagation (pack level)</t>
  </si>
  <si>
    <t>Single cell thermal runaway propagates to adjacent cells in 13s6p configuration. Pack-to-pack propagation in swap station charging bay (6 packs simultaneously). [Inference: propagation likely without active cell isolation or firewall between groups]</t>
  </si>
  <si>
    <t>IEC 62619:2022 §7.3.3 (thermal runaway propagation test — NEW in 2022 edition)</t>
  </si>
  <si>
    <t>(1) Specify inter-cell gap ≥0.5mm or thermal barrier material. (2) Define firewall between parallel groups. (3) Add propagation test to Test Plan. (4) Charger must have per-pack isolation. (5) Station must have fire suppression or passive isolation between bays.</t>
  </si>
  <si>
    <t>Battery Engineer + Safety Engineer</t>
  </si>
  <si>
    <t>HIGH — no firewall design yet</t>
  </si>
  <si>
    <t>OPEN — not in current design</t>
  </si>
  <si>
    <t>SAF-003</t>
  </si>
  <si>
    <t>Connector Arc Flash — Hot Swap</t>
  </si>
  <si>
    <t>Attempted live-swap (user inserts/removes pack without BMS/station handshake completing). At 48V/60A, arc energy sufficient for burn/fire. [ICD-NOTE-003 flags HVIL gap]</t>
  </si>
  <si>
    <t>IEC 62619:2022 §6.2 (external short circuit); ICD_Connector gap ICD-GAP-001</t>
  </si>
  <si>
    <t>(1) HVIL signal-first disconnect: BMS cuts main contactor before power pins separate. (2) Station controller confirms HVIL break before mechanical release. (3) Power pins recessed ≥2mm vs. signal pins. (4) Add connector cycle test to Test Plan (CON-T01).</t>
  </si>
  <si>
    <t>Systems Engineer + ICD owner</t>
  </si>
  <si>
    <t>MED — design mitigation possible</t>
  </si>
  <si>
    <t>OPEN — HVIL not yet specified in BOM</t>
  </si>
  <si>
    <t>SAF-004</t>
  </si>
  <si>
    <t>Electrolyte Leak + Tropical Humidity</t>
  </si>
  <si>
    <t>Seal failure in tropical environment (38°C/90% RH) allows electrolyte vapor to escape enclosure. Long-term: corrosion, reduced cell capacity, connector degradation. [Assumption: current IP rating TBD]</t>
  </si>
  <si>
    <t>IEC 60529 IP Rating; IEC 62619:2022 §6.3 (environmental)</t>
  </si>
  <si>
    <t>(1) Specify IP54 minimum for SBP enclosure (in Tropical_Test_Protocol). (2) Silicone gasket + mechanical compression seal. (3) Long-term humidity cycling test (THV-01 in Tropical_Test_Protocol). (4) Inspect cell-holder interface for condensation path.</t>
  </si>
  <si>
    <t>Mechanical Engineer</t>
  </si>
  <si>
    <t>MED — mitigatable by design</t>
  </si>
  <si>
    <t>OPEN — IP rating not in BOM</t>
  </si>
  <si>
    <t>SAF-005</t>
  </si>
  <si>
    <t>AC Input Overcurrent / Short Circuit</t>
  </si>
  <si>
    <t>VoltSwap station draws 6 × 1kW chargers = 6 kW at 220V AC = 27A. No AC circuit breaker, MCB, or RCBO specified in BOM. [BOM MISSING: VS-MCB, VS-RCBO]. Fault path: overload → cable fire.</t>
  </si>
  <si>
    <t>SNI IEC 60898-1 (MCB); IEC 61008 (RCBO); PLN tariff requirements for commercial load</t>
  </si>
  <si>
    <t>(1) Add 32A MCB + 30mA RCBO to VoltSwap BOM immediately. (2) Specify cable sizing ≥6mm² for 27A load. (3) PLN kVA tariff review for swap station load. (4) Add to AC_Protection_Spec document.</t>
  </si>
  <si>
    <t>Electrical Engineer</t>
  </si>
  <si>
    <t>HIGH until MCB/RCBO added to BOM</t>
  </si>
  <si>
    <t>OPEN — MCB/RCBO missing from BOM</t>
  </si>
  <si>
    <t>SAF-006</t>
  </si>
  <si>
    <t>DC Arc Flash — Contactor / Busbar</t>
  </si>
  <si>
    <t>VoltGrid PCS 10kW at 48V = 208A peak. No contactor, no DC fuse, no SPD specified in BOM. [BOM MISSING: VG-CONTACTOR, VG-FUSE-DC, VG-SPD]. DC arc at 208A is extremely energetic.</t>
  </si>
  <si>
    <t>IEC 60947-2 (DC circuit breaker); IEC 61643-11 (SPD); IEC 62619:2022 §6.2</t>
  </si>
  <si>
    <t>(1) Add DC contactor (48V 250A rated) to VoltGrid BOM. (2) Add DC fuse (200A HRC) on battery + on PCS DC input. (3) Add Class II SPD on DC bus. (4) Busbar rated ≥250A continuous. (5) Arc flash PPE for maintenance protocol.</t>
  </si>
  <si>
    <t>Electrical Engineer + Safety Engineer</t>
  </si>
  <si>
    <t>HIGH until contactor + fuse specified</t>
  </si>
  <si>
    <t>OPEN — contactor/fuse/SPD missing from BOM</t>
  </si>
  <si>
    <t>SAF-007</t>
  </si>
  <si>
    <t>Thermal Runaway — ESS Cabinet</t>
  </si>
  <si>
    <t>VoltGrid holds 8 SBP racks × battery packs. Thermal event in one pack propagates to others in enclosed cabinet. No active fire suppression specified. [Assumption: 8 SBPs = 11.52 kWh total → significant fire load]</t>
  </si>
  <si>
    <t>IEC 62619:2022 §7.3.3; NFPA 855 equivalent; PLN ESS installation guidelines</t>
  </si>
  <si>
    <t>(1) Cabinet must have passive firewall between rack sections. (2) Consider aerosol fire suppression (Stat-X or equivalent). (3) Ventilation fan: thermal sensor cutoff. (4) Minimum 2-hour fire rating for cabinet panel. (5) VoltOS monitoring: cell temperature threshold alert.</t>
  </si>
  <si>
    <t>Systems Engineer + Safety Engineer</t>
  </si>
  <si>
    <t>MED with mitigation — HIGH without</t>
  </si>
  <si>
    <t>OPEN — fire suppression not specified</t>
  </si>
  <si>
    <t>SAF-008</t>
  </si>
  <si>
    <t>Cybersecurity / Unauthorized Control</t>
  </si>
  <si>
    <t>VoltOS edge unit communicates via 4G/LTE + cloud. Unauthorized access could trigger unsafe charge commands (OC, over-current). No security architecture documented.</t>
  </si>
  <si>
    <t>IEC 62443 (Industrial Cybersecurity); OWASP IoT Top 10</t>
  </si>
  <si>
    <t>(1) Mutual TLS for all cloud ↔ edge communication. (2) Signed firmware updates only. (3) BMS hardware safety interlocks INDEPENDENT of software (hardware OVP, OCP, OTP). (4) MQTT or CoAP with cert-based auth. (5) Add to VoltOS architecture spec.</t>
  </si>
  <si>
    <t>Software/Firmware Engineer</t>
  </si>
  <si>
    <t>MED — standard IoT security mitigations</t>
  </si>
  <si>
    <t>OPEN — security spec TBD</t>
  </si>
  <si>
    <t>SAF-009</t>
  </si>
  <si>
    <t>Single-Source Battery Cell Supply</t>
  </si>
  <si>
    <t>Samsung SDI identified as primary cell supplier. Indonesian distribution is limited. Cell shortage = entire ecosystem halted. [Single point of failure for ~78 cells/pack × 18 packs/hub × 80 hubs = 112,320 cells]</t>
  </si>
  <si>
    <t>Supply chain risk standard; Procurement_RFQ_List</t>
  </si>
  <si>
    <t>(1) Qualify secondary cell supplier (EVE Energy, CATL cylindrical, Molicel) at TRL 4. (2) Specify cell in BOM as 'NMC 21700 5Ah class' not as 'Samsung 50E only'. (3) Design BMS for multiple cell models (adjust SOC curve). (4) Safety stock: 6-month supply at launch.</t>
  </si>
  <si>
    <t>Procurement / Battery Engineer</t>
  </si>
  <si>
    <t>MED with dual-source</t>
  </si>
  <si>
    <t>OPEN — single source in BOM</t>
  </si>
  <si>
    <t>SAF-010</t>
  </si>
  <si>
    <t>Tropical Environment Degradation</t>
  </si>
  <si>
    <t>Indonesia: avg 32-38°C ambient, 80-95% RH year-round. NMC cells degrade faster above 35°C. Connector oxidation at high RH. Enclosure seal creep over time. BOM and Test Plan do not include tropical qualification tests. [All [TBD] in Tropical_Test_Protocol]</t>
  </si>
  <si>
    <t>IEC 60721-3-4 (tropical environment classification); Tropical_Test_Protocol</t>
  </si>
  <si>
    <t>(1) All 15 tests in Tropical_Test_Protocol are required before pilot. (2) Specify min/max operating temp: -10°C to +55°C (storage), 0°C to +45°C (operation). (3) Accelerated aging test: 38°C / 90% RH / 1000h. (4) Connector contact resistance: verify &lt;5mΩ after 30 cycles at 38°C/90% RH.</t>
  </si>
  <si>
    <t>Systems Engineer + Test Engineer</t>
  </si>
  <si>
    <t>HIGH — no tropical test data</t>
  </si>
  <si>
    <t>OPEN — no tropical test conducted</t>
  </si>
  <si>
    <t>RISK SUMMARY</t>
  </si>
  <si>
    <t>Critical RPN ≥ 16</t>
  </si>
  <si>
    <t>(SAF-001, SAF-002, SAF-005, SAF-006, SAF-009, SAF-010 — all OPEN)</t>
  </si>
  <si>
    <t>Total OPEN risks</t>
  </si>
  <si>
    <t>Note [Status: TRL 3]</t>
  </si>
  <si>
    <t>All risks are [Assumption/Inference] — physical test will reveal additional hazards. Risk register must be updated after each test campaign.</t>
  </si>
  <si>
    <t>PROCUREMENT RFQ PRIORITY LIST — VoltLoop Ecosystem</t>
  </si>
  <si>
    <t>All prices = [Indicative Market Price] from published marketplace data. NOT quotations. Must obtain RFQ from supplier before committing to BOM cost. FX: Assumptions!E11 IDR/USD.</t>
  </si>
  <si>
    <t>RFQ#</t>
  </si>
  <si>
    <t>Spec Minimum</t>
  </si>
  <si>
    <t>Indicative Price (USD)</t>
  </si>
  <si>
    <t>Indicative IDR (at 16,000)</t>
  </si>
  <si>
    <t>Lead Time (est.)</t>
  </si>
  <si>
    <t>Suggested Supplier(s)</t>
  </si>
  <si>
    <t>BOM Item Code</t>
  </si>
  <si>
    <t>Source Label</t>
  </si>
  <si>
    <t>RFQ Sent?</t>
  </si>
  <si>
    <t>RFQ-001</t>
  </si>
  <si>
    <t>Li-ion Cell NMC 21700 ~5Ah</t>
  </si>
  <si>
    <t>21700 format; Nom 3.6V; Cap ≥4.9Ah; Cont discharge ≥9.8A; Cycle ≥500@80%; Op temp -20 to +60°C</t>
  </si>
  <si>
    <t>2.50–3.50 / cell (proto qty)</t>
  </si>
  <si>
    <t>78 (proto); 100+ advised</t>
  </si>
  <si>
    <t>4–6 weeks (spot); 8–12 weeks (OEM)</t>
  </si>
  <si>
    <t>Samsung SDI (INR21700-50E) — primary; EVE Energy (INR21700-50G) — alt; Molicel (P50B) — alt. Distributor Indonesia: PT Esensi Solusi Buana (Samsung) — verify</t>
  </si>
  <si>
    <t>SBP-104 (Cell Module)</t>
  </si>
  <si>
    <t>[Indicative Market Price]</t>
  </si>
  <si>
    <t>RFQ-002</t>
  </si>
  <si>
    <t>BMS 13s 60A Smart</t>
  </si>
  <si>
    <t>13s (48V); 60A continuous; CAN or UART comm; Cell OVP 4.25V; UVP 2.5V; OTP 60°C; Balancing ≥100mA passive; -20 to +70°C</t>
  </si>
  <si>
    <t>25–60 / unit (Daly/JK range)</t>
  </si>
  <si>
    <t>5 (proto); 100+ preferred</t>
  </si>
  <si>
    <t>2–4 weeks</t>
  </si>
  <si>
    <t>JK BMS (China — JiaKui Electronics) — CAN capable; Daly BMS — UART; ANT BMS — Bluetooth+UART. Avoid no-brand BMS for safety-critical app.</t>
  </si>
  <si>
    <t>SBP-106 (BMS)</t>
  </si>
  <si>
    <t>RFQ-003</t>
  </si>
  <si>
    <t>Charger Module 54.6V 16A (900W)</t>
  </si>
  <si>
    <t>Input: 220V AC 50Hz; Output: 54.6V CC/CV; ≥16A; Efficiency ≥90%; IP54; OCP + OVP + OTP; CAN or RS485 comm; Compact module form</t>
  </si>
  <si>
    <t>35–60 / unit</t>
  </si>
  <si>
    <t>6 (proto = 1 station × 6 bays)</t>
  </si>
  <si>
    <t>3–5 weeks</t>
  </si>
  <si>
    <t>MORNSUN (CHB150W54-N — similar spec); Mean Well (PB-1000-48 with adj); Bafang OEM charger module; custom from Li-Rong (Shenzhen)</t>
  </si>
  <si>
    <t>VS-108 (Charger Module)</t>
  </si>
  <si>
    <t>RFQ-004</t>
  </si>
  <si>
    <t>Swap Docking Connector — Power+Signal</t>
  </si>
  <si>
    <t>SBP / VoltSwap</t>
  </si>
  <si>
    <t>≥120A DC; ≤54.6V; IP54 minimum; HVIL 2-pin integrated; CAN signal pins; ≥300 mating cycles; Guide pin for alignment; Male+Female pair</t>
  </si>
  <si>
    <t>15–40 / pair (off-shelf); 50–150 / pair (custom)</t>
  </si>
  <si>
    <t>6 pairs (proto)</t>
  </si>
  <si>
    <t>Custom: 8–16 weeks NRE; Off-shelf (Anderson SB175 + signal): 2–3 weeks</t>
  </si>
  <si>
    <t>Anderson Power Products (SB175 for power + separate signal connector — interim proto solution); Custom: Wain-tech / RENHOT (China EV connector specialist); Amphenol Industrial — hybrid connector enquiry</t>
  </si>
  <si>
    <t>SBP-109 signal connector / VS docking</t>
  </si>
  <si>
    <t>[Indicative Market Price] — HVIL spec not confirmed</t>
  </si>
  <si>
    <t>No — custom NRE required</t>
  </si>
  <si>
    <t>RFQ-005</t>
  </si>
  <si>
    <t>PCS / Hybrid Inverter 10kW 48V</t>
  </si>
  <si>
    <t>Nom. 48V DC bus (43–58V); ≥10kW rated; Bidirectional (charge + discharge); Grid-tied + off-grid; ≥92% efficiency; RS485/CAN monitoring; Indonesian PLN 220V 50Hz grid</t>
  </si>
  <si>
    <t>600–1400 / unit</t>
  </si>
  <si>
    <t>1 (proto)</t>
  </si>
  <si>
    <t>2–4 weeks (stock item)</t>
  </si>
  <si>
    <t>DEYE SUN-10K-SG04LP3 (48V, 10kW, PLN 220V — confirm); Growatt SPF 10000TL HVM (verify 48V bus); Victron MultiPlus-II 48/10000 (premium, high quality, ~USD 1,500); Solis RHI-10K-48ES</t>
  </si>
  <si>
    <t>VG-109 (PCS/Inverter)</t>
  </si>
  <si>
    <t>RFQ-006</t>
  </si>
  <si>
    <t>DC Contactor 48V 250A</t>
  </si>
  <si>
    <t>Rated voltage ≥60V DC; Continuous current ≥250A; Coil voltage 12V or 24V DC; Normally-open; IP54 minimum; SAF-006 mitigation item</t>
  </si>
  <si>
    <t>20–40 / unit</t>
  </si>
  <si>
    <t>2 per cabinet (proto)</t>
  </si>
  <si>
    <t>2–3 weeks</t>
  </si>
  <si>
    <t>Tyco EV200 series (automotive grade); TE Connectivity LEV200; Gigavac GX14 (48V rated); BEP Marine (48V EV contactor)</t>
  </si>
  <si>
    <t>VG-NEW-01 (missing from BOM)</t>
  </si>
  <si>
    <t>[Indicative Market Price] — [Missing from BOM]</t>
  </si>
  <si>
    <t>RFQ-007</t>
  </si>
  <si>
    <t>Pressure Relief / Vent Valve for SBP</t>
  </si>
  <si>
    <t>Activation pressure: 15–30 kPa; Reseating: one-way; IP54 outside; Flame-retardant; Fits M16 or M20 mounting hole in enclosure; Op temp -20 to +70°C; SAF-001 mitigation item</t>
  </si>
  <si>
    <t>1–3 / unit</t>
  </si>
  <si>
    <t>5 (proto)</t>
  </si>
  <si>
    <t>Keystone Electronics (pressure relief vent); Parker Hannifin (miniature pressure relief); Draftex (flame-retardant vent plug); TE Connectivity (vent valve for battery enclosure)</t>
  </si>
  <si>
    <t>SBP-NEW-01 (missing from BOM)</t>
  </si>
  <si>
    <t>RFQ-008</t>
  </si>
  <si>
    <t>MCB 32A + RCBO 30mA for VoltSwap</t>
  </si>
  <si>
    <t>MCB: 32A type C, 220V AC single phase, 6kA breaking cap; RCBO: 32A 30mA type A residual; DIN rail mount; SAF-005 mitigation</t>
  </si>
  <si>
    <t>8–15 / set</t>
  </si>
  <si>
    <t>1 per station (proto)</t>
  </si>
  <si>
    <t>1–2 weeks (stock in Indonesia)</t>
  </si>
  <si>
    <t>ABB S200 MCB + FH200 RCBO (local PT ABB Indonesia); Schneider Electric iC60N + iID RCBO (PT Schneider); Legrand DX3 (PT Legrand Indonesia)</t>
  </si>
  <si>
    <t>VS-NEW-01 (missing from BOM)</t>
  </si>
  <si>
    <t>RFQ-009</t>
  </si>
  <si>
    <t>Surge Protection Device (SPD) Class II DC</t>
  </si>
  <si>
    <t>Class II (Type 2); DC rated: 60V or 75V; In: ≤20kA; Uc: 65V; DIN rail; SAF-006 mitigation</t>
  </si>
  <si>
    <t>10–25 / unit</t>
  </si>
  <si>
    <t>1 per cabinet (proto)</t>
  </si>
  <si>
    <t>1–2 weeks</t>
  </si>
  <si>
    <t>DEHN DEHNguard (DG M 2P 60 PV); Phoenix Contact VAL-MS; OBO Bettermann V20 DC</t>
  </si>
  <si>
    <t>VG-NEW-02 (missing from BOM)</t>
  </si>
  <si>
    <t>RFQ-010</t>
  </si>
  <si>
    <t>Edge SBC / IoT Computer</t>
  </si>
  <si>
    <t>ARM Cortex-A class; ≥1GB RAM; ≥8GB eMMC; 2× USB; 1× Ethernet; 4G/LTE module or slot; GPIO for relay control; -10 to +65°C; DIN rail mountable or panel mount</t>
  </si>
  <si>
    <t>35–120 / unit</t>
  </si>
  <si>
    <t>2 (proto)</t>
  </si>
  <si>
    <t>Raspberry Pi CM4 (ecosystem, lower temp range); ADVANTECH UNO-2271G (industrial grade); Quectel SC200E (module + SBC); Teltonika RUT956 (industrial 4G router with I/O)</t>
  </si>
  <si>
    <t>VOS-101 (Edge Computer)</t>
  </si>
  <si>
    <t>INDICATIVE COST SUMMARY (Proto Qty)</t>
  </si>
  <si>
    <t>Note: F-column shows midpoint of indicative range. NOT to be used as BOM cost until RFQ received.</t>
  </si>
  <si>
    <t>P0 Items total (RFQ 001-005) — USD</t>
  </si>
  <si>
    <t>TROPICAL ENVIRONMENT VALIDATION PROTOCOL — VoltLoop Ecosystem</t>
  </si>
  <si>
    <t>Indonesia target environment: Avg 30–38°C ambient, 80–95% RH, UV Index 6–11. All tests [Planned — TBD]. None conducted at TRL 3. Must complete ≥ THV-01 to THV-05 before pilot deployment.</t>
  </si>
  <si>
    <t>Test ID</t>
  </si>
  <si>
    <t>Objective</t>
  </si>
  <si>
    <t>Condition / Method</t>
  </si>
  <si>
    <t>Duration</t>
  </si>
  <si>
    <t>Accept Criteria</t>
  </si>
  <si>
    <t>Ref Standard</t>
  </si>
  <si>
    <t>THV-01</t>
  </si>
  <si>
    <t>High-Temp Charge-Discharge Cycle</t>
  </si>
  <si>
    <t>Verify SBP operates safely at 38°C ambient — the peak outdoor ambient in Jakarta/Surabaya</t>
  </si>
  <si>
    <t>38°C ±2°C, 70% RH. 50 complete charge-discharge cycles at 1C. Monitor cell temperature, capacity retention, BMS trips.</t>
  </si>
  <si>
    <t>~5 days</t>
  </si>
  <si>
    <t>Cell temp ≤60°C. Capacity retention ≥95% after 50 cycles. Zero BMS OTP trips. No swelling.</t>
  </si>
  <si>
    <t>IEC 62619:2022 §6.3; IEC 60721-3-4 Class 4K3</t>
  </si>
  <si>
    <t>THV-02</t>
  </si>
  <si>
    <t>Temperature-Humidity Accelerated Aging</t>
  </si>
  <si>
    <t>Simulate 6–12 months of tropical outdoor/semi-outdoor storage and operation on seals and connectors</t>
  </si>
  <si>
    <t>38°C / 90% RH constant. Pack stored at 50% SOC. Inspect: seal condition, terminal corrosion, cell swelling, enclosure deformation.</t>
  </si>
  <si>
    <t>1000 hours (42 days)</t>
  </si>
  <si>
    <t>No seal breach. No terminal corrosion (visual). Cell swelling &lt;0.5mm in any axis. Capacity retention ≥90%.</t>
  </si>
  <si>
    <t>IEC 60068-2-78 (damp heat); IEC 62619:2022 §6.3</t>
  </si>
  <si>
    <t>THV-03</t>
  </si>
  <si>
    <t>Connector Contact Resistance after Humidity Cycling</t>
  </si>
  <si>
    <t>Verify swap connector maintains low contact resistance after repeated mating cycles in tropical conditions</t>
  </si>
  <si>
    <t>30 mate/unmate cycles at 38°C/90% RH. Measure contact resistance before/after each 10-cycle block.</t>
  </si>
  <si>
    <t>3 days</t>
  </si>
  <si>
    <t>Contact resistance &lt;5 mΩ at all measurement points. No pitting or oxidation on contact surfaces.</t>
  </si>
  <si>
    <t>IEC 60512-2 (connectors, contact resistance); ICD_Connector spec</t>
  </si>
  <si>
    <t>THV-04</t>
  </si>
  <si>
    <t>Outdoor UV + Rain Exposure (Station)</t>
  </si>
  <si>
    <t>VoltSwap / VoltGrid</t>
  </si>
  <si>
    <t>Verify station and cabinet enclosure integrity against UV degradation and Indonesian rain patterns</t>
  </si>
  <si>
    <t>1000h UV exposure (UV-B 0.71 W/m²). Simultaneous rain simulation 5mm/min (IP54 minimum). Direct sun orientation.</t>
  </si>
  <si>
    <t>42 days</t>
  </si>
  <si>
    <t>No enclosure discoloration/brittleness. IP54 maintained (post-test spray test). Door seals intact. No ingress.</t>
  </si>
  <si>
    <t>IEC 60068-2-5 (solar radiation); IEC 60529 (IP54); IEC 60068-2-18 (rain)</t>
  </si>
  <si>
    <t>THV-05</t>
  </si>
  <si>
    <t>Charging Rate at 38°C — Thermal Stability</t>
  </si>
  <si>
    <t>SBP + VoltSwap</t>
  </si>
  <si>
    <t>Verify charger thermal output does not exceed safe limits when ambient = 38°C (charger self-heating adds to ambient)</t>
  </si>
  <si>
    <t>Charge 6 packs simultaneously in station at 38°C ambient. Monitor charger heatsink temp, bay airflow temp, cell temperature.</t>
  </si>
  <si>
    <t>4 hours (3 complete charge cycles)</t>
  </si>
  <si>
    <t>Charger heatsink ≤85°C. Bay ambient air ≤45°C at pack inlet. Cell temp ≤50°C during charge. Zero thermal trip.</t>
  </si>
  <si>
    <t>IEC 62619:2022 §6.3; Charger datasheet thermal limits</t>
  </si>
  <si>
    <t>THV-06</t>
  </si>
  <si>
    <t>Vibration — Motorcycle Road Conditions</t>
  </si>
  <si>
    <t>SBP mounted on motorcycle experiences road vibration. Indonesian urban roads: potholes, speed bumps, 30-80 km/h.</t>
  </si>
  <si>
    <t>Vibration per IEC 60068-2-64 random profile. Add sweep 5–200 Hz (Indonesian urban road profile TBD). Duration: 2h per axis × 3 axes.</t>
  </si>
  <si>
    <t>6 hours</t>
  </si>
  <si>
    <t>No structural crack. No busbar/connector loosening. BMS communication intact. Capacity retention &gt;98% after test.</t>
  </si>
  <si>
    <t>IEC 60068-2-64 (random vibration); IEC 60068-2-6 (sinusoidal)</t>
  </si>
  <si>
    <t>THV-07</t>
  </si>
  <si>
    <t>Drop Test — User Handling</t>
  </si>
  <si>
    <t>Simulate accidental drop during swap operation (user drops pack from waist height)</t>
  </si>
  <si>
    <t>Drop from 1.0m onto concrete surface. All 6 faces. Pack at 50% SOC.</t>
  </si>
  <si>
    <t>No fire, no explosion, no electrolyte leak. Cell voltage deviation &lt;50mV post-drop. BMS functional. Enclosure deformation &lt;5mm.</t>
  </si>
  <si>
    <t>IEC 62619:2022 §6.1.7 (mechanical abuse); IEC 62133 drop test</t>
  </si>
  <si>
    <t>THV-08</t>
  </si>
  <si>
    <t>Cold-Start Function Check</t>
  </si>
  <si>
    <t>Early morning in mountainous Indonesia regions can reach 15–20°C. Verify BMS and VoltOS start correctly after cold soak.</t>
  </si>
  <si>
    <t>Pack at 15°C ambient (refrigerated chamber). Power on BMS, initiate CAN communication, perform 1 charge-discharge cycle.</t>
  </si>
  <si>
    <t>4 hours</t>
  </si>
  <si>
    <t>BMS communication established within 30s. SOC estimate within ±5%. No low-temp protection trip (verify UVP not triggered by cold IR rise).</t>
  </si>
  <si>
    <t>IEC 62619:2022 §6.3; BMS spec low-temp cutoff</t>
  </si>
  <si>
    <t>THV-09</t>
  </si>
  <si>
    <t>Long-Term Capacity Fade at Tropical Temp</t>
  </si>
  <si>
    <t>Characterize capacity fade rate at 35°C vs. 25°C baseline (standard). Critical for BaaS replacement cycle planning.</t>
  </si>
  <si>
    <t>Accelerated aging: 100 cycles at 35°C / 1C charge / 1C discharge. Compare to same pack cycled at 25°C baseline. Measure capacity each 25 cycles.</t>
  </si>
  <si>
    <t>~10 days</t>
  </si>
  <si>
    <t>Capacity fade rate documented. If &gt;1.5× vs. baseline at 35°C, update BOM replacement cycle assumption.</t>
  </si>
  <si>
    <t>Samsung SDI cell datasheet (cycle life at elevated temp); IEC 62619</t>
  </si>
  <si>
    <t>THV-10</t>
  </si>
  <si>
    <t>Dust Ingress — Station (IP5x)</t>
  </si>
  <si>
    <t>Indonesian roadside and industrial environments have fine dust. Swap slot and charger bay opening exposed during use.</t>
  </si>
  <si>
    <t>IEC 60529 IP5x dust test: talc powder, air circulation 8 hours, inspect charger module, connector, and bay interior.</t>
  </si>
  <si>
    <t>No dust accumulation on connector contacts. Charger module fan intake not blocked. Station electronics cavity sealed.</t>
  </si>
  <si>
    <t>IEC 60529 IP5x; Charger module IP rating verification</t>
  </si>
  <si>
    <t>THV-11</t>
  </si>
  <si>
    <t>Lightning Protection — Induced Transient</t>
  </si>
  <si>
    <t>Indonesia high lightning density (~200 days/yr in Java). Grid-connected VoltGrid exposed to induced surges. SPD spec must be validated.</t>
  </si>
  <si>
    <t>1.2/50µs surge pulse (IEC 61000-4-5) on AC input. 8/20µs on DC bus. Verify SPD clamps; verify PCS/BMS survives.</t>
  </si>
  <si>
    <t>SPD clips transient. PCS and BMS functional after test. No latch-up. No permanent damage.</t>
  </si>
  <si>
    <t>IEC 61000-4-5 (surge immunity); IEC 61643-11 (SPD selection); VoltGrid SAF-006</t>
  </si>
  <si>
    <t>Total tests</t>
  </si>
  <si>
    <t>P0 (before pilot)</t>
  </si>
  <si>
    <t>P1 (before commercial deployment)</t>
  </si>
  <si>
    <t>P2 (before Series A claim)</t>
  </si>
  <si>
    <t>NOTES</t>
  </si>
  <si>
    <t>1. Road vibration profile (THV-06) must be derived from actual route data — not available at TRL 3. Use IEC 60068-2-64 standard profile as proxy until measured.</t>
  </si>
  <si>
    <t>2. Accelerated aging tests (THV-02, THV-09) require climate chamber with humidity control. Minimum equipment: Espec SH-242 equivalent or university/BRIN lab access.</t>
  </si>
  <si>
    <t>3. All test specimens must be PROTO-level (not CAD models). Cannot proceed until SBP physical prototype completed.</t>
  </si>
  <si>
    <t>4. Test sequence recommended: THV-07 (drop) → THV-03 (connector) → THV-05 (charge thermal) → THV-01 (cycling) → THV-02 (long-term). Run in parallel where equipment allows.</t>
  </si>
  <si>
    <t>Test_Plan</t>
  </si>
  <si>
    <t>Requirements_Matrix</t>
  </si>
  <si>
    <t>ICD_Connector</t>
  </si>
  <si>
    <t>Safety_Risk_Register</t>
  </si>
  <si>
    <t>Procurement_RFQ_List</t>
  </si>
  <si>
    <t>Tropical_Test_Protocol</t>
  </si>
  <si>
    <t>AE-SBP-602</t>
  </si>
  <si>
    <t>Vent Valve / Pressure Relief</t>
  </si>
  <si>
    <t>SRV or rupture-disc type, 1–5 psi relief pressure, PTFE membrane, rated for NMC 21700 off-gas. IP54 enclosure-side mount. Ref: IEC 62619:2022 cell venting requirement.</t>
  </si>
  <si>
    <t>RFQ → PRQ-007 (Procurement_RFQ_List)</t>
  </si>
  <si>
    <t>[Assumption — RFQ pending]</t>
  </si>
  <si>
    <t>AE-VG-310</t>
  </si>
  <si>
    <t>DC Pre-charge Contactor 100A 48V</t>
  </si>
  <si>
    <t>DC contactor 100A 48VDC, coil 12–48V, normally-open, with 33Ω pre-charge resistor circuit. Mandatory for soft-start. AE-VG-301 (MCCB) covers manual isolation; this covers BMS-triggered auto-disconnect. Brands: GIGAVAC GX11, Tyco EV200, or equiv.</t>
  </si>
  <si>
    <t>RFQ → PRQ-009 (Procurement_RFQ_List) — add DC contactor to P0 list</t>
  </si>
  <si>
    <t>Note: AE-VG-301 already includes DC MCCB 125A + SPD DC+AC + AC MCCB + isolator. This line adds the electrically-controlled contactor (distinct function).</t>
  </si>
  <si>
    <t>MCB/RCBO per charger circuit (earth leakage + OCP), SPD Type 2 AC, bidirectional kWh meter with Modbus, main contactor, distribution panel. PUIL 2011 §5.4 compliance. SPD size: In+≥20kA, Up≤1.5kV.</t>
  </si>
  <si>
    <t>BATTERY REPLACEMENT PARAMETERS (COGS row 39)</t>
  </si>
  <si>
    <t>Annual replace rate (fraction of total batteries)</t>
  </si>
  <si>
    <t>SBP replace cost per pack (IDR, mass stage)</t>
  </si>
  <si>
    <t>BREAKEVEN SUBSCRIPTION PRICE ANALYSIS</t>
  </si>
  <si>
    <t>Required price at Base utilization (60%)</t>
  </si>
  <si>
    <t>IDR/mo</t>
  </si>
  <si>
    <t>Premium vs current SwapPrice</t>
  </si>
  <si>
    <t>vs SwapPrice assumption</t>
  </si>
  <si>
    <t>Breakeven subscribers at current price</t>
  </si>
  <si>
    <t>couriers (vs capacity)</t>
  </si>
  <si>
    <t>Capacity utilization needed at current price</t>
  </si>
  <si>
    <t>= same as Breakeven Util above</t>
  </si>
  <si>
    <t>[Assumption — no official Bank Indonesia rate date. Source: Internal estimate. Re-validate against BI rate before investor use.]</t>
  </si>
  <si>
    <t>VoltGrid_BOM</t>
  </si>
  <si>
    <t>Swap Hub Econ</t>
  </si>
  <si>
    <t>VoltSwap_BOM</t>
  </si>
  <si>
    <t>Master Component</t>
  </si>
  <si>
    <t>Conservative/Aggressive Revenue + EBITDA now LIVE (rows 5-7). Deployment path identical across all 3 scenarios — only business driver assumptions (utilization, price, FX, carbon) differ per Assumptions!B/D. C10/C11/E10/E11 remain estimates.</t>
  </si>
  <si>
    <t>Conservative [LIVE]</t>
  </si>
  <si>
    <t>Aggressive [LIVE]</t>
  </si>
  <si>
    <t>[Estimate]</t>
  </si>
  <si>
    <t>VOLTLOOP — MONTHLY CASH RUNWAY MODEL  |  Y1-Y2 (24 months)</t>
  </si>
  <si>
    <t>DF-0.9 / TRL 3 — Analytical model only. Deploy assumptions are identical to Annual P&amp;L. All figures IDR.</t>
  </si>
  <si>
    <t>Key: Hubs Y1=2, Y2=8 | MGs Y1=1, Y2=4 | HubUtil ramp: 50% (Y1) / 70% (Y2). Equity: Month 1=3.5B, Month 13=20B IDR.</t>
  </si>
  <si>
    <t>Month #</t>
  </si>
  <si>
    <t>(empty — separator)</t>
  </si>
  <si>
    <t>DEPLOYMENT</t>
  </si>
  <si>
    <t>Util Ramp Factor</t>
  </si>
  <si>
    <t>Active Couriers (Hubs×/Hub×Ramp×Util)</t>
  </si>
  <si>
    <t>REVENUE (IDR/month)</t>
  </si>
  <si>
    <t xml:space="preserve">  Swap Subscription</t>
  </si>
  <si>
    <t xml:space="preserve">  Microgrid Service</t>
  </si>
  <si>
    <t xml:space="preserve">  BaaS / Battery Lease</t>
  </si>
  <si>
    <t xml:space="preserve">  Carbon Credits</t>
  </si>
  <si>
    <t xml:space="preserve">  Passport SaaS</t>
  </si>
  <si>
    <t xml:space="preserve">  OEM API</t>
  </si>
  <si>
    <t>COGS (IDR/month)</t>
  </si>
  <si>
    <t xml:space="preserve">  Hub Operational OPEX</t>
  </si>
  <si>
    <t xml:space="preserve">  MG Operational OPEX</t>
  </si>
  <si>
    <t xml:space="preserve">  Battery Wear Reserve [Assumption]</t>
  </si>
  <si>
    <t>TOTAL COGS</t>
  </si>
  <si>
    <t>OPEX (IDR/month)</t>
  </si>
  <si>
    <t xml:space="preserve">  Sales &amp; Marketing (% rev)</t>
  </si>
  <si>
    <t xml:space="preserve">  R&amp;D</t>
  </si>
  <si>
    <t xml:space="preserve">  G&amp;A</t>
  </si>
  <si>
    <t>TOTAL OPEX</t>
  </si>
  <si>
    <t>EBITDA %</t>
  </si>
  <si>
    <t>CASH FLOW (IDR/month)</t>
  </si>
  <si>
    <t xml:space="preserve">  EBITDA</t>
  </si>
  <si>
    <t xml:space="preserve">  CapEx (hubs + MGs deployed)</t>
  </si>
  <si>
    <t xml:space="preserve">  Working Capital [Not modeled]</t>
  </si>
  <si>
    <t xml:space="preserve">  Interest Paid [Not modeled]</t>
  </si>
  <si>
    <t xml:space="preserve">  Equity Raised</t>
  </si>
  <si>
    <t xml:space="preserve">  Debt Raised</t>
  </si>
  <si>
    <t>Running Cash Balance (cumulative)</t>
  </si>
  <si>
    <t>Monthly Burn (if EBITDA&lt;0)</t>
  </si>
  <si>
    <t>Cash Runway (months)</t>
  </si>
  <si>
    <t>💡 Status</t>
  </si>
  <si>
    <t>24-MONTH SUMMARY</t>
  </si>
  <si>
    <t>Total Equity Raised</t>
  </si>
  <si>
    <t>Total Debt Raised</t>
  </si>
  <si>
    <t>Total CapEx (24mo)</t>
  </si>
  <si>
    <t>Cumulative EBITDA (24mo)</t>
  </si>
  <si>
    <t>End Cash (Month 24)</t>
  </si>
  <si>
    <t>Min Cash (lowest month)</t>
  </si>
  <si>
    <t>Solvency Status</t>
  </si>
  <si>
    <t>Note: All revenue ramp, OpEx %, BaaS/Carbon/SaaS lines, and equity timing are [Assumption]. Hub/MG OPEX link live to Swap Hub Econ &amp; Microgrid Econ (Base). Battery wear = Hubs×18×0.5/yr÷12×RollUp mass cost.</t>
  </si>
  <si>
    <t>Scenarios</t>
  </si>
  <si>
    <t>Note: Depreciation fixed (G32) — software 3-yr life now uses vintage rolling window vs prior cumulative (which over-depreciated retired assets).</t>
  </si>
  <si>
    <t>EMISSION FACTOR METHODOLOGY &amp; SOURCES (G25)</t>
  </si>
  <si>
    <t>Coefficient</t>
  </si>
  <si>
    <t>Basis / Source</t>
  </si>
  <si>
    <t>PLN grid emission factor</t>
  </si>
  <si>
    <t>tCO2/MWh, Jawa-Bali-Madura grid [KESDM/PLN ~2019-2021 published range 0.85-0.87]. Used for microgrid diesel-offset baseline.</t>
  </si>
  <si>
    <t>[Needs MRV validation]</t>
  </si>
  <si>
    <t>Courier fuel displacement</t>
  </si>
  <si>
    <t>tCO2/courier/yr = 60km/day x 300day x 0.05 L/km x 2.68 kgCO2/L diesel (IPCC default). [Assumption on daily distance]</t>
  </si>
  <si>
    <t>HH diesel offset</t>
  </si>
  <si>
    <t>tCO2/HH/yr from microgrid solar vs diesel genset. Derived from PLN grid factor x avg HH consumption. [Assumption on baseline]</t>
  </si>
  <si>
    <t>2nd-life embodied savings</t>
  </si>
  <si>
    <t>tCO2/battery from reuse vs new manufacture (avoided ~70 kgCO2/kWh x 1.44kWh x reuse fraction). [Assumption - GHG Protocol Scope 3 Cat 1 proxy]</t>
  </si>
  <si>
    <t>Landfill avoidance</t>
  </si>
  <si>
    <t>kg CO2-eq/battery from recycling vs landfill. [Assumption - needs LCA]</t>
  </si>
  <si>
    <t>ALL CO2 figures are pre-MRV estimates. Carbon credit revenue requires verified methodology (e.g. Verra VCS, Gold Standard) + 3rd-party validation before monetization. Do not present as certified offsets.</t>
  </si>
  <si>
    <t>(+) Warranty reserve + spares</t>
  </si>
  <si>
    <t>Warranty reserve rate (% of revenue)</t>
  </si>
  <si>
    <t>Spares allowance (IDR/active hub/yr)</t>
  </si>
  <si>
    <t>TAM RECONCILIATION (G09) — THIS SHEET IS MASTER</t>
  </si>
  <si>
    <t>This sheet (bottom-up): TAM 2030 = 7.7T IDR. Built from specific revenue streams (customers x ARPU x 12). This is the ADDRESSABLE SERVICES revenue VoltLoop can charge for.</t>
  </si>
  <si>
    <t>04_Market_Sizing (top-down): TAM = 50-60T IDR. Based on total motorcycle energy spend (125M units x energy/yr). This is the THEORETICAL CEILING of all 2-wheel energy, most of which VoltLoop never touches.</t>
  </si>
  <si>
    <t>Reconciliation: The two measure different things. 7.7T (services VoltLoop bills) is a ~13-15% slice of 50-60T (total energy spend incl. electricity/fuel bought directly). Use 7.7T for SAM/SOM/revenue. 04_Market_Sizing is background context only.</t>
  </si>
  <si>
    <t>CAP TABLE vs CASH FLOW RECONCILIATION (G29)</t>
  </si>
  <si>
    <t>Cap Table total raises (Pre-Seed+Seed+A+B) = 122.5B IDR. Cash Flow statement equity inflows (5-yr) = 59.5B IDR. GAP = 63B.</t>
  </si>
  <si>
    <t>Cause: Series B (100B) is shown in the cap table as a FUTURE round but the 5-yr Cash Flow only models raises through Series A (Y1-Y4). Series B closes post-Y5 (outside model window).</t>
  </si>
  <si>
    <t>RESOLUTION NEEDED: Either (a) extend Cash Flow to show Series B in Y5/Y6, or (b) relabel Series B as 'planned, post-model'. Do NOT present cap-table dilution as if Series B cash is already in the 5-yr plan. [Decision required]</t>
  </si>
  <si>
    <t>⚠ BACKGROUND CONTEXT ONLY (G09) — Top-down TAM ceiling (50-60T IDR). For revenue/SAM/SOM use 'TAM SAM SOM' sheet (bottom-up, 7.7T addressable). See reconciliation there.</t>
  </si>
  <si>
    <t>FX SENSITIVITY (G24) — Y5 Battery COGS &amp; Gross Margin vs USD/IDR</t>
  </si>
  <si>
    <t>USD content of SBP BOM [Assumption]:</t>
  </si>
  <si>
    <t>FX (IDR/USD)</t>
  </si>
  <si>
    <t>SBP Unit Cost</t>
  </si>
  <si>
    <t>Y5 Battery COGS</t>
  </si>
  <si>
    <t>Y5 Total COGS</t>
  </si>
  <si>
    <t>Y5 Gross Margin</t>
  </si>
  <si>
    <t>Base FX = 16,000 (highlighted). At stress FX 18,039, Y5 gross margin compresses ~3pts. Only battery COGS is FX-exposed; hub/MG OPEX is IDR.</t>
  </si>
  <si>
    <t>WACC BUILD-UP (G39) — CAPM + startup premium</t>
  </si>
  <si>
    <t>Basis [all Assumption — verify before DCF use]</t>
  </si>
  <si>
    <t>Risk-free rate (Rf)</t>
  </si>
  <si>
    <t>Indonesia 10Y govt bond (SBN) ~2026 [Assumption]</t>
  </si>
  <si>
    <t>Equity risk premium (ERP)</t>
  </si>
  <si>
    <t>Indonesia equity market premium [Assumption - Damodaran range]</t>
  </si>
  <si>
    <t>Beta (clean-energy infra)</t>
  </si>
  <si>
    <t>Sector comparable [Assumption]</t>
  </si>
  <si>
    <t>Startup / size premium</t>
  </si>
  <si>
    <t>Early-stage illiquidity + execution risk [Assumption 8-12%]</t>
  </si>
  <si>
    <t>Cost of Equity</t>
  </si>
  <si>
    <t>= Rf + Beta x ERP + startup premium</t>
  </si>
  <si>
    <t>Pre-tax cost of debt</t>
  </si>
  <si>
    <t>Indonesian corporate lending rate [Assumption]</t>
  </si>
  <si>
    <t>Tax rate</t>
  </si>
  <si>
    <t>Indonesia corporate tax</t>
  </si>
  <si>
    <t>Equity / Debt weight</t>
  </si>
  <si>
    <t>80 / 20</t>
  </si>
  <si>
    <t>Early-stage, equity-heavy [Assumption]</t>
  </si>
  <si>
    <t>WACC</t>
  </si>
  <si>
    <t>= 80% x CoE + 20% x after-tax CoD</t>
  </si>
  <si>
    <t>NOTE: Build-up WACC ~21% reflects startup risk. Any DCF in this model using 10% materially overvalues. Use this WACC or higher for honest valuation.</t>
  </si>
  <si>
    <t>Capex Schedule</t>
  </si>
  <si>
    <t>Hub site uplift × (capex / hw-only)</t>
  </si>
  <si>
    <t>MG site uplift × (capex / hw-only)</t>
  </si>
  <si>
    <t xml:space="preserve"> </t>
  </si>
  <si>
    <t>VOLTLOOP SYSTEM ARCHITECTURE (G21)</t>
  </si>
  <si>
    <t>Block-level power + data interfaces | DF-0.9 / TRL 3 | All specs [Assumption] pending prototype validation</t>
  </si>
  <si>
    <t>POWER FLOW ARCHITECTURE</t>
  </si>
  <si>
    <t>From</t>
  </si>
  <si>
    <t>To</t>
  </si>
  <si>
    <t>Type</t>
  </si>
  <si>
    <t>Voltage</t>
  </si>
  <si>
    <t>Current (max)</t>
  </si>
  <si>
    <t>Grid AC (PLN)</t>
  </si>
  <si>
    <t>VoltSwap PDU</t>
  </si>
  <si>
    <t>AC 1-ph / 3-ph</t>
  </si>
  <si>
    <t>220V / 380V AC</t>
  </si>
  <si>
    <t>32A per phase</t>
  </si>
  <si>
    <t>7-22 kW</t>
  </si>
  <si>
    <t>MCB/RCBO + terminal block</t>
  </si>
  <si>
    <t>PUIL 2011 compliant. SPD Type 2 AC at inlet.</t>
  </si>
  <si>
    <t>VoltSwap Charger</t>
  </si>
  <si>
    <t>SBP (per slot)</t>
  </si>
  <si>
    <t>DC CC/CV</t>
  </si>
  <si>
    <t>42-54.6V DC</t>
  </si>
  <si>
    <t>16A (0.5C)</t>
  </si>
  <si>
    <t>~870W per slot</t>
  </si>
  <si>
    <t>Docking connector (ICD)</t>
  </si>
  <si>
    <t>13s CC/CV profile. 6 slots x 870W = 5.2kW total.</t>
  </si>
  <si>
    <t>SBP (charged)</t>
  </si>
  <si>
    <t>EV Motorcycle</t>
  </si>
  <si>
    <t>DC discharge</t>
  </si>
  <si>
    <t>32.5-54.6V DC</t>
  </si>
  <si>
    <t>60A cont (BMS limit)</t>
  </si>
  <si>
    <t>~2.8kW peak</t>
  </si>
  <si>
    <t>Vehicle docking connector</t>
  </si>
  <si>
    <t>13s6p NMC 21700. BMS 60A cutoff. See ICD_Connector.</t>
  </si>
  <si>
    <t>SBP (2nd life)</t>
  </si>
  <si>
    <t>VoltGrid Rack</t>
  </si>
  <si>
    <t>DC parallel bus</t>
  </si>
  <si>
    <t>20A per pack</t>
  </si>
  <si>
    <t>~1kW per pack</t>
  </si>
  <si>
    <t>Anderson SB50/75 or equiv</t>
  </si>
  <si>
    <t>2nd-life packs at 70-80% SOH. Parallel bus via DC fused combiner.</t>
  </si>
  <si>
    <t>VoltGrid PCS</t>
  </si>
  <si>
    <t>Local Load / Grid</t>
  </si>
  <si>
    <t>AC (bidirectional)</t>
  </si>
  <si>
    <t>220V AC 1-ph</t>
  </si>
  <si>
    <t>45A</t>
  </si>
  <si>
    <t>10kW</t>
  </si>
  <si>
    <t>AC MCCB + CT metering</t>
  </si>
  <si>
    <t>48V hybrid inverter (Deye/Growatt class). Grid-tied or off-grid mode.</t>
  </si>
  <si>
    <t>AC (charge from grid)</t>
  </si>
  <si>
    <t>220V AC</t>
  </si>
  <si>
    <t>Same PCS bidirectional port</t>
  </si>
  <si>
    <t>Arbitrage / TOU charging. Anti-islanding required for grid-tied.</t>
  </si>
  <si>
    <t>COMMUNICATION ARCHITECTURE</t>
  </si>
  <si>
    <t>Link</t>
  </si>
  <si>
    <t>Protocol</t>
  </si>
  <si>
    <t>Physical Layer</t>
  </si>
  <si>
    <t>Data Rate</t>
  </si>
  <si>
    <t>Payload</t>
  </si>
  <si>
    <t>Direction</t>
  </si>
  <si>
    <t>Latency Req</t>
  </si>
  <si>
    <t>SBP BMS - VoltSwap</t>
  </si>
  <si>
    <t>CAN 2.0B</t>
  </si>
  <si>
    <t>CAN-H/CAN-L (twisted pair)</t>
  </si>
  <si>
    <t>250 kbps</t>
  </si>
  <si>
    <t>SOC, V, I, Temp, Cycle#, Fault</t>
  </si>
  <si>
    <t>Bidirectional</t>
  </si>
  <si>
    <t>&lt;100ms</t>
  </si>
  <si>
    <t>Via docking connector signal pins. HVIL on same harness.</t>
  </si>
  <si>
    <t>SBP NFC/BLE - Rider App</t>
  </si>
  <si>
    <t>NFC (ISO 14443) + BLE 5.0</t>
  </si>
  <si>
    <t>NFC antenna + BLE radio</t>
  </si>
  <si>
    <t>NFC: 424 kbps / BLE: 2 Mbps</t>
  </si>
  <si>
    <t>Battery ID, SOH, passport URL</t>
  </si>
  <si>
    <t>SBP to phone</t>
  </si>
  <si>
    <t>Tap (&lt;1s)</t>
  </si>
  <si>
    <t>NFC for ID swap; BLE for richer SOH/passport display.</t>
  </si>
  <si>
    <t>VoltSwap Ctrl - VoltOS</t>
  </si>
  <si>
    <t>Modbus TCP / MQTT</t>
  </si>
  <si>
    <t>Ethernet (RJ45 or WiFi)</t>
  </si>
  <si>
    <t>100 Mbps</t>
  </si>
  <si>
    <t>Slot status, charger state, swap events, kWh</t>
  </si>
  <si>
    <t>&lt;500ms</t>
  </si>
  <si>
    <t>VoltOS polls or subscribes. Local Ethernet preferred; WiFi fallback.</t>
  </si>
  <si>
    <t>VoltGrid Ctrl - VoltOS</t>
  </si>
  <si>
    <t>Modbus TCP</t>
  </si>
  <si>
    <t>Ethernet (RJ45)</t>
  </si>
  <si>
    <t>PCS state, SOC aggregate, kWh in/out, alarms</t>
  </si>
  <si>
    <t>&lt;1s</t>
  </si>
  <si>
    <t>Standard Modbus register map. PCS native Modbus RTU bridged to TCP by VoltOS.</t>
  </si>
  <si>
    <t>VoltOS - Cloud (VoltOS SaaS)</t>
  </si>
  <si>
    <t>MQTT 3.1.1 / REST API</t>
  </si>
  <si>
    <t>4G LTE / WiFi</t>
  </si>
  <si>
    <t>Telemetry, commands, passport, alerts</t>
  </si>
  <si>
    <t>&lt;5s (best effort)</t>
  </si>
  <si>
    <t>TLS encrypted. Store-and-forward if offline. MQTT for telemetry; REST for config.</t>
  </si>
  <si>
    <t>VoltOS - Energy Meter</t>
  </si>
  <si>
    <t>Modbus RTU</t>
  </si>
  <si>
    <t>RS485 (2-wire)</t>
  </si>
  <si>
    <t>9600 baud</t>
  </si>
  <si>
    <t>kWh import/export, V, I, PF</t>
  </si>
  <si>
    <t>Meter to VoltOS</t>
  </si>
  <si>
    <t>&lt;2s</t>
  </si>
  <si>
    <t>Class 1 accuracy meter (CT-based). For carbon accounting + billing.</t>
  </si>
  <si>
    <t>INTERFACE MATRIX (subsystem x subsystem)</t>
  </si>
  <si>
    <t>P = Power | D = Data | M = Mechanical | T = Thermal</t>
  </si>
  <si>
    <t>EV / Rider</t>
  </si>
  <si>
    <t>Grid (PLN)</t>
  </si>
  <si>
    <t>--</t>
  </si>
  <si>
    <t>P D M T</t>
  </si>
  <si>
    <t>P M</t>
  </si>
  <si>
    <t>P D M</t>
  </si>
  <si>
    <t>D (via NFC/BLE)</t>
  </si>
  <si>
    <t>D</t>
  </si>
  <si>
    <t>P</t>
  </si>
  <si>
    <t>D (via VoltOS)</t>
  </si>
  <si>
    <t>P (bidi)</t>
  </si>
  <si>
    <t>D (MQTT/REST)</t>
  </si>
  <si>
    <t>SYSTEM BOUNDARY NOTE</t>
  </si>
  <si>
    <t>Site = 1 VoltSwap + 1 VoltGrid + 2 VoltOS + 18 SBP (reference config from RollUp). Grid connection is single-point AC. All DC is 48V nominal bus. No high-voltage (&gt;60V DC) interfaces in the system.</t>
  </si>
  <si>
    <t>Safety: HVIL on all power connectors. DC contactor + pre-charge on VoltGrid bus. Vent valve on each SBP. SPD DC+AC at grid entry. Emergency stop at VoltSwap + VoltGrid.</t>
  </si>
  <si>
    <t>REGULATORY MAP — Indonesia EV / Battery Swap / ESS (G13)</t>
  </si>
  <si>
    <t>Regulation / Standard</t>
  </si>
  <si>
    <t>Issuing Body</t>
  </si>
  <si>
    <t>Scope / Relevance to VoltLoop</t>
  </si>
  <si>
    <t>VoltLoop Product</t>
  </si>
  <si>
    <t>Action Required</t>
  </si>
  <si>
    <t>—— EV POLICY &amp; INCENTIVES ——</t>
  </si>
  <si>
    <t>Perpres 55/2019 (Battery-Based EV Program)</t>
  </si>
  <si>
    <t>President / Kemenperin</t>
  </si>
  <si>
    <t>Umbrella regulation for EV industry dev. Mandates TKDN (local content), manufacturing roadmap, charging/swap infra. Basis for all downstream EV rules.</t>
  </si>
  <si>
    <t>Ensure TKDN compliance at each production tier</t>
  </si>
  <si>
    <t>TKDN 2-Wheeler: 40% (2026) → 60% → 80% (2030)</t>
  </si>
  <si>
    <t>Kemenperin</t>
  </si>
  <si>
    <t>Local content requirement for electric 2-wheelers. SBP assembly in-country counts. Cell import OK if pack assembled locally. Track TKDN % per product.</t>
  </si>
  <si>
    <t>Calculate TKDN % per product; plan local assembly for SBP</t>
  </si>
  <si>
    <t>VAT 1% for EVs with TKDN ≥40% (PMK 2023)</t>
  </si>
  <si>
    <t>Kemenkeu (MoF)</t>
  </si>
  <si>
    <t>Value-added tax reduced from 11% to 1% for locally-made EVs meeting TKDN. Applies to vehicle, may apply to battery swap subscription pricing.</t>
  </si>
  <si>
    <t>SBP / Vehicle</t>
  </si>
  <si>
    <t>Verify if BaaS subscription qualifies for reduced VAT</t>
  </si>
  <si>
    <t>PPnBM Exemption (GR 74/2021)</t>
  </si>
  <si>
    <t>Kemenkeu</t>
  </si>
  <si>
    <t>Luxury goods sales tax exemption for battery electric vehicles. Reduces end-user cost of EV + battery.</t>
  </si>
  <si>
    <t>Vehicle</t>
  </si>
  <si>
    <t>OEM partners claim this; VoltLoop benefits indirectly</t>
  </si>
  <si>
    <t>Subsidy IDR 5M/unit e-motorcycle (2026 proposal)</t>
  </si>
  <si>
    <t>Per-unit purchase subsidy for electric motorcycles. Prior IDR 7M program expired 2025. New program under ministerial coordination.</t>
  </si>
  <si>
    <t>Proposed</t>
  </si>
  <si>
    <t>Monitor; subsidized bikes increase swap customer base</t>
  </si>
  <si>
    <t>—— PRODUCT SAFETY &amp; CERTIFICATION ——</t>
  </si>
  <si>
    <t>SNI for Secondary Lithium Batteries (SNI IEC 62619)</t>
  </si>
  <si>
    <t>BSN / Kemenperin</t>
  </si>
  <si>
    <t>Mandatory SNI certification for industrial lithium batteries. Effective May 2025 for primary; secondary batteries (incl. ESS packs) expected to follow. Type-5 scheme, 4-yr validity with annual surveillance.</t>
  </si>
  <si>
    <t>SBP, VoltGrid</t>
  </si>
  <si>
    <t>Mandatory (pending secondary scope)</t>
  </si>
  <si>
    <t>Engage LSPro (certification body); prepare test samples + documentation</t>
  </si>
  <si>
    <t>SNI IEC 62133 (Portable Li-ion Safety)</t>
  </si>
  <si>
    <t>BSN</t>
  </si>
  <si>
    <t>Cell-level safety testing. Required for batteries in consumer/portable products. May apply to SBP if classified as portable pack.</t>
  </si>
  <si>
    <t>Likely mandatory</t>
  </si>
  <si>
    <t>Determine SBP classification (industrial vs portable)</t>
  </si>
  <si>
    <t>UN 38.3 (Transport of Lithium Batteries)</t>
  </si>
  <si>
    <t>UN / IATA</t>
  </si>
  <si>
    <t>Mandatory for all lithium battery transport (air, sea, road). Required before shipping SBP units between factory, hubs, or customers.</t>
  </si>
  <si>
    <t>Mandatory</t>
  </si>
  <si>
    <t>Test at accredited lab (e.g., TUV SUD Singapore); budget $5-7k</t>
  </si>
  <si>
    <t>IEC 62619:2022 (Industrial Li Battery Safety)</t>
  </si>
  <si>
    <t>IEC / CB Scheme</t>
  </si>
  <si>
    <t>International safety standard for ESS/industrial lithium batteries. Covers overcharge, short-circuit, thermal abuse, propagation, BMS function. Market access for VoltGrid ESS sales.</t>
  </si>
  <si>
    <t>Voluntary (but market-required)</t>
  </si>
  <si>
    <t>Full test program; budget $15-80k per product; 4-6 months</t>
  </si>
  <si>
    <t>—— ELECTRICAL INSTALLATION &amp; GRID ——</t>
  </si>
  <si>
    <t>PUIL 2011 (General Electrical Installation Code)</t>
  </si>
  <si>
    <t>BSN / PLN</t>
  </si>
  <si>
    <t>Indonesia's wiring code. Governs swap station + microgrid internal wiring, earthing, RCD/RCBO, cable sizing, IP rating. PUIL §5.4 mandates RCBO on socket circuits.</t>
  </si>
  <si>
    <t>VoltSwap, VoltGrid</t>
  </si>
  <si>
    <t>Design review against PUIL; certified electrician for installation</t>
  </si>
  <si>
    <t>PLN Grid Connection (SPJBTL / SLO)</t>
  </si>
  <si>
    <t>PLN (State Utility)</t>
  </si>
  <si>
    <t>Grid connection permit (SPJBTL) + Operating Worthiness Certificate (SLO) required for any commercial electrical installation &gt;3.5kVA. VoltSwap ~7-22kW, VoltGrid ~10kW bidirectional.</t>
  </si>
  <si>
    <t>Apply to PLN per site; budget 50-120M IDR per connection; 2-6 week lead</t>
  </si>
  <si>
    <t>PLN Bidirectional Metering (Net Metering / Export)</t>
  </si>
  <si>
    <t>PLN / ESDM</t>
  </si>
  <si>
    <t>VoltGrid feeds power back to grid. Indonesia allows net metering for rooftop solar (Permen ESDM 26/2021). ESS export rules still evolving. May need special tariff agreement.</t>
  </si>
  <si>
    <t>Evolving</t>
  </si>
  <si>
    <t>Engage PLN early for pilot site; negotiate export tariff or behind-the-meter model</t>
  </si>
  <si>
    <t>SPLN (PLN Technical Standards)</t>
  </si>
  <si>
    <t>PLN</t>
  </si>
  <si>
    <t>PLN's internal technical standards for grid-connected equipment. PCS/inverter must meet PLN grid code (frequency, voltage, anti-islanding, harmonic limits).</t>
  </si>
  <si>
    <t>Mandatory (grid-connected)</t>
  </si>
  <si>
    <t>Verify PCS vendor has PLN type-test certificate; budget extra if not</t>
  </si>
  <si>
    <t>—— ENVIRONMENTAL &amp; RECYCLING ——</t>
  </si>
  <si>
    <t>PP 22/2021 (Hazardous Waste Management)</t>
  </si>
  <si>
    <t>KLHK</t>
  </si>
  <si>
    <t>Used lithium batteries classified as B3 hazardous waste. VoltLoop's 2nd-life program (SBP → VoltGrid) must be licensed as B3 waste processor or obtain exemption as re-use facility.</t>
  </si>
  <si>
    <t>SBP 2nd life, Recycling</t>
  </si>
  <si>
    <t>Obtain B3 processing license (izin pengolahan); or partner with licensed recycler</t>
  </si>
  <si>
    <t>Battery Extended Producer Responsibility (EPR)</t>
  </si>
  <si>
    <t>Producers/importers of batteries increasingly required to manage end-of-life. VoltLoop's closed-loop model (swap → 2nd life → recycle) is a strong EPR compliance story.</t>
  </si>
  <si>
    <t>Document 2nd-life and recycling pathway as EPR compliance evidence</t>
  </si>
  <si>
    <t>—— TRANSPORT &amp; VEHICLE TYPE APPROVAL ——</t>
  </si>
  <si>
    <t>Kemenhub Type Approval (Uji Tipe Kendaraan)</t>
  </si>
  <si>
    <t>Kemenhub</t>
  </si>
  <si>
    <t>Battery packs used in road vehicles must be part of a type-approved vehicle or separately approved as swappable component. Relevant when SBP is installed in OEM partner vehicles.</t>
  </si>
  <si>
    <t>Mandatory (via OEM)</t>
  </si>
  <si>
    <t>OEM partner handles; VoltLoop provides SBP technical file + test reports</t>
  </si>
  <si>
    <t>UN 3481 / Packing Group II (Li-ion Transport)</t>
  </si>
  <si>
    <t>IATA / IMO</t>
  </si>
  <si>
    <t>Shipping classification for lithium-ion batteries. SBP &gt;100Wh is Class 9 dangerous goods for air/sea transport. Affects logistics cost and packaging requirements.</t>
  </si>
  <si>
    <t>UN 38.3 test + proper packaging + shipping documentation per IATA DGR</t>
  </si>
  <si>
    <t>—— DATA &amp; DIGITAL ——</t>
  </si>
  <si>
    <t>PP 71/2019 + GR 5/2020 (Data Protection)</t>
  </si>
  <si>
    <t>Kominfo</t>
  </si>
  <si>
    <t>Battery passport, rider data, location tracking, SOH telemetry — all personal/operational data must comply with Indonesia's data protection framework. Data localization rules may apply.</t>
  </si>
  <si>
    <t>VoltOS, Cloud</t>
  </si>
  <si>
    <t>Data privacy impact assessment; server localization plan (local cloud or CDN)</t>
  </si>
  <si>
    <t>—— KEY TIMELINE &amp; RISK SUMMARY ——</t>
  </si>
  <si>
    <t>CRITICAL PATH: SNI certification (6-12 months) is the longest lead item. Start BEFORE prototype build to align test samples with cert requirements. PLN connection (2-6 weeks per site) is the bottleneck for hub deployment.</t>
  </si>
  <si>
    <t>RISK: SNI secondary battery scope timing is uncertain. If mandated before VoltLoop's cert is ready, commercial deployment is blocked. Mitigation: engage LSPro and start documentation now.</t>
  </si>
  <si>
    <t>All regulatory items marked [Assumption] or [Evolving] require legal counsel validation before investor materials. This sheet is a SCAFFOLD, not legal advice.</t>
  </si>
  <si>
    <t>HUB SITE CAPEX BUILD-UP (G14)</t>
  </si>
  <si>
    <t>Hardware (VoltSwap + 18×SBP, mass)</t>
  </si>
  <si>
    <t>Civil works (shelter, pad, signage, security)</t>
  </si>
  <si>
    <t>PLN grid connection (3-phase, meter, MCB panel)</t>
  </si>
  <si>
    <t>Installation labor (electrical + mechanical, 2 weeks)</t>
  </si>
  <si>
    <t>Permits &amp; licensing (site, PLN, business)</t>
  </si>
  <si>
    <t>Commissioning &amp; testing</t>
  </si>
  <si>
    <t>Contingency (19%)</t>
  </si>
  <si>
    <t>TOTAL HUB CAPEX / UNIT</t>
  </si>
  <si>
    <t>MICROGRID SITE CAPEX BUILD-UP</t>
  </si>
  <si>
    <t>Hardware (VoltGrid cabinet, mass)</t>
  </si>
  <si>
    <t>Civil works (pad, enclosure, fencing)</t>
  </si>
  <si>
    <t>PLN grid connection (bidirectional meter)</t>
  </si>
  <si>
    <t>Installation labor</t>
  </si>
  <si>
    <t>Permits</t>
  </si>
  <si>
    <t>Commissioning</t>
  </si>
  <si>
    <t>Contingency (10%)</t>
  </si>
  <si>
    <t>TOTAL MG CAPEX / UNIT</t>
  </si>
  <si>
    <t>CERTIFICATION BUDGET (G15)</t>
  </si>
  <si>
    <t>SBP: IEC 62619 + UN 38.3 + IEC 62133 (pack safety + transport)</t>
  </si>
  <si>
    <t>VoltGrid: IEC 62619 + IEC 62620 (system-level ESS)</t>
  </si>
  <si>
    <t>VoltSwap: PUIL compliance + EMC + electrical safety</t>
  </si>
  <si>
    <t>SNI certification (all products, Type-5 scheme)</t>
  </si>
  <si>
    <t>VoltOS: EMC + CE</t>
  </si>
  <si>
    <t>Lab test samples (8 proto units, destructive)</t>
  </si>
  <si>
    <t>Travel, logistics, lab liaison</t>
  </si>
  <si>
    <t>TOTAL CERTIFICATION BUDGET</t>
  </si>
  <si>
    <t>Timeline: 6-12 months (SNI is longest lead). Start pre-prototype to align samples with cert requirements.</t>
  </si>
  <si>
    <t>Note: Cert budget is a one-time Y1 cost, not recurring. Add to Capex row 10 (Other) or treat as pre-revenue OpEx.</t>
  </si>
  <si>
    <t>VOLTLOOP WORKBOOK — TABLE OF CONTENTS</t>
  </si>
  <si>
    <t>v0.9-audit | DF-0.9 / TRL 3 | 70 sheets | Last updated 12-Jun-2026</t>
  </si>
  <si>
    <t>Section</t>
  </si>
  <si>
    <t>Sheets</t>
  </si>
  <si>
    <t>Color</t>
  </si>
  <si>
    <t>DASHBOARD</t>
  </si>
  <si>
    <t>Exec Summary • Audit Report</t>
  </si>
  <si>
    <t>● Dark green / Red</t>
  </si>
  <si>
    <t>BUSINESS PLAN</t>
  </si>
  <si>
    <t>00_Cover • 01_Executive_Overview • 02_VMV_Startup • 03_Choices • 04_Market_Sizing • 05_Objektif • 06-10 (Prosbis, Task, Org, RAM)</t>
  </si>
  <si>
    <t>● Teal</t>
  </si>
  <si>
    <t>OPERATIONS</t>
  </si>
  <si>
    <t>A1_Level4_Activity • A2_E2E_Flow • A3_KPI • A4_Risk_Control • A5_SOP_Draft • A6_Improvement</t>
  </si>
  <si>
    <t>● Light blue</t>
  </si>
  <si>
    <t>MARKET ANALYSIS</t>
  </si>
  <si>
    <t>Problem • Market • TAM SAM SOM (master) • Customers • Competitors</t>
  </si>
  <si>
    <t>● Navy</t>
  </si>
  <si>
    <t>ASSUMPTIONS</t>
  </si>
  <si>
    <t>Assumptions (scenario toggle) • Assumptions (2) (fabrication rates) • Master Input Data • Master Component [legacy ref]</t>
  </si>
  <si>
    <t>● Orange</t>
  </si>
  <si>
    <t>ENGINEERING</t>
  </si>
  <si>
    <t>System_Architecture • Architecture_Trade_Study (48V adopted) • Tech Stack • Requirements_Matrix • ICD_Connector</t>
  </si>
  <si>
    <t>● Blue</t>
  </si>
  <si>
    <t>BOM &amp; COSTING</t>
  </si>
  <si>
    <t>SBP_BOM • VoltSwap_BOM • VoltGrid_BOM • VoltOS_BOM • Fabrication • RollUp • Cost_Drivers</t>
  </si>
  <si>
    <t>● Steel blue</t>
  </si>
  <si>
    <t>REVENUE &amp; OPS</t>
  </si>
  <si>
    <t>Pricing • Revenue Model • Swap Hub Econ • Microgrid Econ • Battery Lifecycle • Operational KPI • Carbon • ESG</t>
  </si>
  <si>
    <t>● Green</t>
  </si>
  <si>
    <t>FINANCIAL MODEL</t>
  </si>
  <si>
    <t>Capex Schedule (+ site build-up + cert budget) • P&amp;L (COGS build wired) • Cash Flow • Balance Sheet • Scenarios (live) • Monthly_Runway (24mo) • Investor Returns (WACC 21%)</t>
  </si>
  <si>
    <t>● Purple</t>
  </si>
  <si>
    <t>RISK &amp; COMPLIANCE</t>
  </si>
  <si>
    <t>Regulatory_Map (15 regs, SNI critical path) • Uncertainty_Register • Safety_Risk_Register (10 risks) • Procurement_Recs • Procurement_RFQ_List (10 items)</t>
  </si>
  <si>
    <t>● Amber</t>
  </si>
  <si>
    <t>TESTING</t>
  </si>
  <si>
    <t>Test_Plan (15 TRL4 tests) • Tropical_Test_Protocol (5 tropical tests, 55°C)</t>
  </si>
  <si>
    <t>REFERENCE</t>
  </si>
  <si>
    <t>README • Roadmap • Recommendations</t>
  </si>
  <si>
    <t>● Gray</t>
  </si>
  <si>
    <t>GOVERNANCE</t>
  </si>
  <si>
    <t>96_GAP_REGISTER (34 gaps: 23 closed / 4 partial / 7 open) • 97_OPEN_ITEMS • 98_AUDIT_CHECKS (21/21 pass) • 99_CHANGELOG (v0.9-audit, 64 entries)</t>
  </si>
  <si>
    <t>● Pink / Green</t>
  </si>
  <si>
    <t>FORMULA CHAIN (verified)</t>
  </si>
  <si>
    <t>BOM → RollUp → Capex → Assumptions → Revenue Model → P&amp;L → Cash Flow → Balance Sheet (✅ balanced)</t>
  </si>
  <si>
    <t>Operational KPI → Exec Summary (✅ correct links: 80 hubs, 60 MGs)</t>
  </si>
  <si>
    <t>⚠ Y5 ending cash = -10.1B IDR. Model requires Series B (100B in cap table) or deployment slowdown. See G22/G29 in Gap Register.</t>
  </si>
  <si>
    <t>Master Input Data</t>
  </si>
  <si>
    <t>FX rate</t>
  </si>
  <si>
    <t>Microgrid Econ</t>
  </si>
  <si>
    <t>Ops</t>
  </si>
  <si>
    <t>Commercial</t>
  </si>
  <si>
    <t>Founder</t>
  </si>
  <si>
    <t>Monthly_Runway</t>
  </si>
  <si>
    <t>TASK INTERDEPENDENCY — AXION / VOLTLOOP (Start-up)</t>
  </si>
  <si>
    <t>FD-03</t>
  </si>
  <si>
    <t>VERDICT</t>
  </si>
  <si>
    <t>Score</t>
  </si>
  <si>
    <t>MODEL_CHECKS</t>
  </si>
  <si>
    <t>ASSUMPTION_CONTROL</t>
  </si>
  <si>
    <t>AI_CHANGELOG</t>
  </si>
  <si>
    <t>NAVIGATION &amp; SUMMARY</t>
  </si>
  <si>
    <t>00_TOC</t>
  </si>
  <si>
    <t>Recommendations</t>
  </si>
  <si>
    <t>STRATEGY &amp; ORG</t>
  </si>
  <si>
    <t>MARKET</t>
  </si>
  <si>
    <t>Competitors</t>
  </si>
  <si>
    <t>ASSUMPTIONS &amp; INPUTS</t>
  </si>
  <si>
    <t>ENGINEERING &amp; TECH</t>
  </si>
  <si>
    <t>System_Architecture</t>
  </si>
  <si>
    <t>Tech Stack</t>
  </si>
  <si>
    <t>VoltOS_BOM</t>
  </si>
  <si>
    <t>Fabrication</t>
  </si>
  <si>
    <t>RollUp</t>
  </si>
  <si>
    <t>UNIT ECONOMICS &amp; OPS</t>
  </si>
  <si>
    <t>Cost_Drivers</t>
  </si>
  <si>
    <t>Pricing</t>
  </si>
  <si>
    <t>Operational KPI</t>
  </si>
  <si>
    <t>FINANCIAL STATEMENTS</t>
  </si>
  <si>
    <t>Cash Flow</t>
  </si>
  <si>
    <t>Balance Sheet</t>
  </si>
  <si>
    <t>Regulatory_Map</t>
  </si>
  <si>
    <t>Uncertainty_Register</t>
  </si>
  <si>
    <t>Procurement_Recs</t>
  </si>
  <si>
    <t>Audit</t>
  </si>
  <si>
    <t>Note</t>
  </si>
  <si>
    <t>VOLTLOOP — FUNDING PLAN (close the cash gap, blended financing)</t>
  </si>
  <si>
    <t>All values IDR. Blue = [Assumption] input (founder-adjustable). New funding sized so ending cash ≥ buffer every year. Drives Cash Flow rows 16-17.</t>
  </si>
  <si>
    <t>EXISTING FUNDING (original model)</t>
  </si>
  <si>
    <t>Existing equity raises [Original]</t>
  </si>
  <si>
    <t>Existing debt raises [Original]</t>
  </si>
  <si>
    <t>Existing total funding</t>
  </si>
  <si>
    <t>Ending cash — original plan [reference snapshot]</t>
  </si>
  <si>
    <t>NEW FUNDING REQUIRED (audit fix — blended)</t>
  </si>
  <si>
    <t>Target minimum cash buffer [Assumption]</t>
  </si>
  <si>
    <t>New equity raise [Assumption]</t>
  </si>
  <si>
    <t>New debt facility [Assumption]</t>
  </si>
  <si>
    <t>New asset financing (battery-backed) [Assumption]</t>
  </si>
  <si>
    <t>Total new funding</t>
  </si>
  <si>
    <t>Cumulative new funding</t>
  </si>
  <si>
    <t>PRO-FORMA FUNDING (feeds Cash Flow)</t>
  </si>
  <si>
    <t>Pro-forma ending cash (live from Cash Flow)</t>
  </si>
  <si>
    <t>FUNDING SUFFICIENCY</t>
  </si>
  <si>
    <t>Cumulative funding (equity+debt, pro-forma)</t>
  </si>
  <si>
    <t>Gross PP&amp;E deployed (cumulative)</t>
  </si>
  <si>
    <t>Funding surplus / (gap) — must be ≥ 0</t>
  </si>
  <si>
    <t>DILUTION IMPACT (incremental round, this audit)</t>
  </si>
  <si>
    <t>Pre-money valuation [Assumption]</t>
  </si>
  <si>
    <t>New equity raised (this round, cumulative)</t>
  </si>
  <si>
    <t>Post-money valuation</t>
  </si>
  <si>
    <t>New investor ownership %</t>
  </si>
  <si>
    <t>Existing shareholders ownership % (post)</t>
  </si>
  <si>
    <t>Incremental dilution on the NEW Rp 11B equity only. Prior rounds (Rp 59.5B) already in the cap table; full cap table lives in Investor Returns.</t>
  </si>
  <si>
    <t>VOLTLOOP — 5-YEAR DCF VALUATION (with &amp; without terminal value)</t>
  </si>
  <si>
    <t>Infrastructure-style valuation: long-lived assets, terminal/exit value at Y5. Blue = [Assumption]. References live P&amp;L, Capex, Balance Sheet.</t>
  </si>
  <si>
    <t>WACC BUILD-UP (CAPM / Damodaran)</t>
  </si>
  <si>
    <t>Risk-free rate — Indonesia 10Y govt [Assumption]</t>
  </si>
  <si>
    <t>Bank Indonesia / IBPA INDOGB 10Y — verify dated</t>
  </si>
  <si>
    <t>Equity risk premium — Indonesia [Assumption]</t>
  </si>
  <si>
    <t>Damodaran country ERP (Indonesia)</t>
  </si>
  <si>
    <t>Levered beta [Assumption]</t>
  </si>
  <si>
    <t>Energy-infra / early-stage proxy</t>
  </si>
  <si>
    <t>Cost of equity = rf + β×ERP</t>
  </si>
  <si>
    <t>Pre-tax cost of debt [Assumption]</t>
  </si>
  <si>
    <t>Tax rate (live = TaxRate)</t>
  </si>
  <si>
    <t>After-tax cost of debt</t>
  </si>
  <si>
    <t>Target equity weight [Assumption]</t>
  </si>
  <si>
    <t>Target debt weight</t>
  </si>
  <si>
    <t>Model named WACC (Assumptions) — reference</t>
  </si>
  <si>
    <t>Note: build-up (~15%) &gt; model 12%. DCF uses build-up; recommend aligning Assumptions!E10.</t>
  </si>
  <si>
    <t>FREE CASH FLOW TO FIRM (FCFF) — IDR</t>
  </si>
  <si>
    <t>EBIT (operating income)</t>
  </si>
  <si>
    <t>Less: cash tax on EBIT (0 if EBIT&lt;0)</t>
  </si>
  <si>
    <t>NOPAT</t>
  </si>
  <si>
    <t>Plus: D&amp;A</t>
  </si>
  <si>
    <t>Less: Capex</t>
  </si>
  <si>
    <t>Less: Δ net working capital (cash effect)</t>
  </si>
  <si>
    <t>FCFF</t>
  </si>
  <si>
    <t>Discount period (yrs)</t>
  </si>
  <si>
    <t>Discount factor @ WACC</t>
  </si>
  <si>
    <t>PV of FCFF</t>
  </si>
  <si>
    <t>Sum PV of explicit FCFF = NPV WITHOUT terminal value</t>
  </si>
  <si>
    <t>TERMINAL / EXIT VALUE</t>
  </si>
  <si>
    <t>Exit EV/EBITDA multiple — base [Assumption]</t>
  </si>
  <si>
    <t>High-growth energy infra; Y5 EBITDA still ramping</t>
  </si>
  <si>
    <t>Y5 EBITDA (live)</t>
  </si>
  <si>
    <t>Terminal value (exit multiple) = mult × Y5 EBITDA</t>
  </si>
  <si>
    <t>PV of terminal value @ WACC</t>
  </si>
  <si>
    <t>Perpetuity growth g [Assumption]</t>
  </si>
  <si>
    <t>TV (perpetuity, Gordon) = FCFF₅×(1+g)/(WACC−g)</t>
  </si>
  <si>
    <t>PV of TV (perpetuity)</t>
  </si>
  <si>
    <t>Perpetuity is NOT meaningful while Y5 FCFF is negative (capex still ramping). Exit-multiple method is the primary basis.</t>
  </si>
  <si>
    <t>ENTERPRISE &amp; EQUITY VALUE (base, exit-multiple)</t>
  </si>
  <si>
    <t>PV of explicit FCFF (Y1-Y5)</t>
  </si>
  <si>
    <t>PV of terminal value</t>
  </si>
  <si>
    <t>Enterprise Value = NPV WITH terminal value</t>
  </si>
  <si>
    <t>Less: net debt at Y5 (debt − cash)</t>
  </si>
  <si>
    <t>Equity Value (base case)</t>
  </si>
  <si>
    <t>VALUATION RANGE — Equity Value (vary exit multiple)</t>
  </si>
  <si>
    <t>Downside</t>
  </si>
  <si>
    <t>Upside</t>
  </si>
  <si>
    <t>Exit EV/EBITDA multiple [Assumption]</t>
  </si>
  <si>
    <t>Enterprise Value (with terminal)</t>
  </si>
  <si>
    <t>Less: net debt (Y5)</t>
  </si>
  <si>
    <t>Equity Value</t>
  </si>
  <si>
    <t>INVESTOR RETURNS (new equity round)</t>
  </si>
  <si>
    <t>New equity invested (this round)</t>
  </si>
  <si>
    <t>Investor share of Y5 equity value (base, floored at 0)</t>
  </si>
  <si>
    <t>MOIC (base, DCF-based)</t>
  </si>
  <si>
    <t>Hold period (yrs) [Assumption]</t>
  </si>
  <si>
    <t>Gross IRR (base, DCF-based)</t>
  </si>
  <si>
    <t>Reality check</t>
  </si>
  <si>
    <t>At a strict 5-yr DCF, base equity value is negative — the round's implied valuation is NOT supported by 5-yr fundamentals. Value depends on EBITDA compounding beyond Y5 (see Cohort_Economics: mature hubs ARE profitable). Frame as long-horizon infrastructure, not a 5-yr exit.</t>
  </si>
  <si>
    <t>SENSITIVITY — Equity Value: WACC (down) vs Exit EV/EBITDA (across)</t>
  </si>
  <si>
    <t>WACC \ Exit x</t>
  </si>
  <si>
    <t>VOLTLOOP — SCENARIO CASH FLOWS (Conservative / Base / Aggressive, 5-Yr)</t>
  </si>
  <si>
    <t>Driver-based: each scenario = live base model × [Assumption] multipliers. Base column multipliers = 1.0 so Base ties to actual P&amp;L/Cash Flow. Funding held at pro-forma plan to expose each scenario's gap.</t>
  </si>
  <si>
    <t>SCENARIO DRIVERS [Assumption]</t>
  </si>
  <si>
    <t>Revenue multiplier</t>
  </si>
  <si>
    <t>Gross-margin delta (ppt)</t>
  </si>
  <si>
    <t>Opex multiplier</t>
  </si>
  <si>
    <t>Capex multiplier</t>
  </si>
  <si>
    <t>CONSERVATIVE (Rev ×0.75, GM −5ppt)</t>
  </si>
  <si>
    <t>Line (IDR)</t>
  </si>
  <si>
    <t>Gross margin %</t>
  </si>
  <si>
    <t>Net income</t>
  </si>
  <si>
    <t>Ending cash (pro-forma)</t>
  </si>
  <si>
    <t>BASE (= live model)</t>
  </si>
  <si>
    <t>AGGRESSIVE (Rev ×1.25, GM +5ppt)</t>
  </si>
  <si>
    <t>VOLTLOOP — MATURE HUB COHORT ECONOMICS (per hub, steady state)</t>
  </si>
  <si>
    <t>Shows whether a single MATURE swap hub is profitable on its own. Company-level net income is negative because of continuous new-hub capex/D&amp;A + corporate overhead — not because units lose money. Blue = [Assumption], green links = named inputs.</t>
  </si>
  <si>
    <t>MATURE HUB ECONOMICS BY SCENARIO (live from 'Swap Hub Econ')</t>
  </si>
  <si>
    <t>Capex per hub (IDR)</t>
  </si>
  <si>
    <t>Utilization</t>
  </si>
  <si>
    <t>Subscription price (IDR/mo)</t>
  </si>
  <si>
    <t>Monthly revenue/hub</t>
  </si>
  <si>
    <t>Monthly OPEX/hub</t>
  </si>
  <si>
    <t>Monthly EBITDA/hub</t>
  </si>
  <si>
    <t>Annual EBITDA/hub</t>
  </si>
  <si>
    <t>EBITDA margin</t>
  </si>
  <si>
    <t>Breakeven utilization</t>
  </si>
  <si>
    <t>Unit verdict</t>
  </si>
  <si>
    <t>BREAKEVEN GAP — BASE CASE (active scenario)</t>
  </si>
  <si>
    <t>Breakeven subscription price at 60% util</t>
  </si>
  <si>
    <t>Current price</t>
  </si>
  <si>
    <t>Price increase needed to break even</t>
  </si>
  <si>
    <t>Breakeven utilization needed (vs 60% now)</t>
  </si>
  <si>
    <t>KEY FINDING</t>
  </si>
  <si>
    <t>A mature hub is EBITDA-NEGATIVE at Base and Conservative assumptions (−Rp 93.6M/yr at Base). Units break even only at ~91% utilization, a +52% price increase, OR the Aggressive density (70 couriers/hub @ 80%). This — not just capex/D&amp;A — is the root cause of company-level losses. It is the #1 thing to validate before raising. Routed to FOUNDER_DECISIONS.</t>
  </si>
  <si>
    <t>UTILIZATION SENSITIVITY — Base hub annual EBITDA</t>
  </si>
  <si>
    <t>VOLTLOOP — EXECUTIVE FINANCE DASHBOARD</t>
  </si>
  <si>
    <t>5-year infrastructure scale model. All figures live-linked. IDR. Post audit-fix (funding gap closed, terminal value added, scenarios live).</t>
  </si>
  <si>
    <t>5-YEAR FINANCIALS</t>
  </si>
  <si>
    <t>Operating cash flow</t>
  </si>
  <si>
    <t>Free cash flow (FCFF)</t>
  </si>
  <si>
    <t>Ending cash (post-fix)</t>
  </si>
  <si>
    <t>KEY METRICS (single values)</t>
  </si>
  <si>
    <t>Minimum ending cash (5-yr)</t>
  </si>
  <si>
    <t>Total funding deployed (equity+debt)</t>
  </si>
  <si>
    <t>Funding surplus vs capex at Y5</t>
  </si>
  <si>
    <t>Break-even EBITDA year</t>
  </si>
  <si>
    <t>NPV without terminal value (5-yr FCFF)</t>
  </si>
  <si>
    <t>NPV with terminal value (Enterprise Value, base)</t>
  </si>
  <si>
    <t>Equity value (base, 10x exit)</t>
  </si>
  <si>
    <t>Equity value range (down / base / up)</t>
  </si>
  <si>
    <t>Investor MOIC (base, 5-yr DCF basis)</t>
  </si>
  <si>
    <t>Investor IRR (base, 5-yr DCF basis)</t>
  </si>
  <si>
    <t>Mature hub annual EBITDA — BASE case</t>
  </si>
  <si>
    <t>Mature hub break-even utilization (base)</t>
  </si>
  <si>
    <t>FINANCE MODEL HEALTH SCORE</t>
  </si>
  <si>
    <t>3-statement integrity (BS balances) — live</t>
  </si>
  <si>
    <t>Solvency: min cash ≥ buffer all yrs — live</t>
  </si>
  <si>
    <t>Funding sufficiency (no gap) — live</t>
  </si>
  <si>
    <t>Formula cleanliness (0 errors)</t>
  </si>
  <si>
    <t>Scenario coverage (3 live 5-yr CFs)</t>
  </si>
  <si>
    <t>Valuation rigor (DCF + TV + WACC + sensitivity)</t>
  </si>
  <si>
    <t>Investor returns live-linked</t>
  </si>
  <si>
    <t>Assumption documentation (Assumptions_Log)</t>
  </si>
  <si>
    <t>FX clarity + runway reconciliation</t>
  </si>
  <si>
    <t>Unit economics viability (cohort) — live</t>
  </si>
  <si>
    <t>MODEL QUALITY SCORE (ex unit-economics)</t>
  </si>
  <si>
    <t>OVERALL FINANCE SCORE (incl. viability)</t>
  </si>
  <si>
    <t>Finance score BEFORE audit (reference)</t>
  </si>
  <si>
    <t>RECONCILIATION: MONTHLY → ANNUAL (added by audit)</t>
  </si>
  <si>
    <t>Annual (P&amp;L)</t>
  </si>
  <si>
    <t>Sum of 12 months</t>
  </si>
  <si>
    <t>Variance</t>
  </si>
  <si>
    <t>% Var</t>
  </si>
  <si>
    <t>Flag</t>
  </si>
  <si>
    <t>Revenue Y1</t>
  </si>
  <si>
    <t>Revenue Y2</t>
  </si>
  <si>
    <t>EBITDA Y1</t>
  </si>
  <si>
    <t>EBITDA Y2</t>
  </si>
  <si>
    <t>Overall reconciliation status</t>
  </si>
  <si>
    <t>Valuation</t>
  </si>
  <si>
    <t>VOLTLOOP — CHANGE LOG (finance audit fix)</t>
  </si>
  <si>
    <t>Every change in this audit pass. Date 2026-06-15. Only Cash Flow rows 16-17 were re-pointed; all other model formulas/inputs untouched. New sheets are additive.</t>
  </si>
  <si>
    <t>Sheet / Cell</t>
  </si>
  <si>
    <t>Original issue</t>
  </si>
  <si>
    <t>Fix</t>
  </si>
  <si>
    <t>Impact on model</t>
  </si>
  <si>
    <t>Cash Flow C16:G16</t>
  </si>
  <si>
    <t>Re-pointed to =Funding_Plan!C20:G20 (existing + new equity)</t>
  </si>
  <si>
    <t>Ending cash now ≥ buffer every year; min cash +3.25B</t>
  </si>
  <si>
    <t>DONE</t>
  </si>
  <si>
    <t>Cash Flow C17:G17</t>
  </si>
  <si>
    <t>Debt raises hardcoded</t>
  </si>
  <si>
    <t>Re-pointed to =Funding_Plan!C21:G21 (existing + facility + asset fin)</t>
  </si>
  <si>
    <t>Blended financing; BS still balances (check=0)</t>
  </si>
  <si>
    <t>Funding_Plan (new)</t>
  </si>
  <si>
    <t>No funding-gap analysis; cumulative funding 84.5B &lt; PP&amp;E 91.3B</t>
  </si>
  <si>
    <t>Sized Rp 15.5B blended top-up (equity 11B + debt 2.5B + asset fin 2B) + 3B buffer</t>
  </si>
  <si>
    <t>Funding surplus positive all years (Y5 +8.7B)</t>
  </si>
  <si>
    <t>Valuation (new)</t>
  </si>
  <si>
    <t>NPV negative, no terminal value, no WACC build-up</t>
  </si>
  <si>
    <t>5yr DCF: FCFF, WACC build-up (15.1%), exit-multiple + perpetuity TV, sensitivity, valuation range</t>
  </si>
  <si>
    <t>NPV w/o TV -54.4B; EV w/ TV (base) +6.7B; equity range -41.9B..+7.0B</t>
  </si>
  <si>
    <t>Scenario_CF (new)</t>
  </si>
  <si>
    <t>Conservative/Aggressive IRR &amp; margin were [Estimate] placeholders</t>
  </si>
  <si>
    <t>Driver-based full 5yr CF for 3 scenarios; Base ties exactly to live model</t>
  </si>
  <si>
    <t>Break-even EBITDA: Cons Y5 / Base Y4 / Aggr Y3</t>
  </si>
  <si>
    <t>Cohort_Economics (new)</t>
  </si>
  <si>
    <t>No per-hub view; couldn't tell if units profitable</t>
  </si>
  <si>
    <t>Linked mature-hub economics from Swap Hub Econ + utilization sensitivity</t>
  </si>
  <si>
    <t>FINDING: mature hub EBITDA-negative at base (-93.6M/yr); breakeven needs +52% price or 91% util</t>
  </si>
  <si>
    <t>Exec_Fin_Dashboard (new)</t>
  </si>
  <si>
    <t>No single investor-facing finance view</t>
  </si>
  <si>
    <t>Live dashboard: 5yr financials, KPIs, valuation, finance health score</t>
  </si>
  <si>
    <t>Overall finance score 90 (was ~40); model quality 96</t>
  </si>
  <si>
    <t>Monthly_Runway A62:F70</t>
  </si>
  <si>
    <t>Monthly model not reconciled to annual Cash Flow</t>
  </si>
  <si>
    <t>Flags VARIANCE (Y2 rev -26%); monthly model needs alignment (FD-06)</t>
  </si>
  <si>
    <t>DONE (variance flagged)</t>
  </si>
  <si>
    <t>Missing solvency/funding/valuation checks; #18 not live</t>
  </si>
  <si>
    <t>Added checks #19-25; made #18 live; solvency #6-8 now pass</t>
  </si>
  <si>
    <t>19 OK / 5 WARNING / 0 FAIL / 1 review (was 10/4/2/2)</t>
  </si>
  <si>
    <t>Assumptions_Log, Change_Log (new)</t>
  </si>
  <si>
    <t>No central assumption/change register</t>
  </si>
  <si>
    <t>Added both logs</t>
  </si>
  <si>
    <t>Full traceability</t>
  </si>
  <si>
    <t>VOLTLOOP — ASSUMPTIONS LOG (finance audit)</t>
  </si>
  <si>
    <t>Values are live links to source cells. Status: Verified / Assumption / Estimate / Missing Data. Impact = effect on valuation/solvency. Complements ASSUMPTION_CONTROL.</t>
  </si>
  <si>
    <t>Next action</t>
  </si>
  <si>
    <t>Min cash buffer</t>
  </si>
  <si>
    <t>Audit policy</t>
  </si>
  <si>
    <t>Confirm acceptable cash floor</t>
  </si>
  <si>
    <t>New equity (this round)</t>
  </si>
  <si>
    <t>Audit / founder</t>
  </si>
  <si>
    <t>Confirm round size &amp; timing</t>
  </si>
  <si>
    <t>New debt facility</t>
  </si>
  <si>
    <t>Secure facility term sheet</t>
  </si>
  <si>
    <t>New asset financing (battery-backed)</t>
  </si>
  <si>
    <t>Battery lessor LOI</t>
  </si>
  <si>
    <t>WACC (build-up)</t>
  </si>
  <si>
    <t>CAPM / Damodaran</t>
  </si>
  <si>
    <t>Estimate</t>
  </si>
  <si>
    <t>Verify rf/ERP/beta; align Assumptions!E10 (12%)</t>
  </si>
  <si>
    <t>Exit EV/EBITDA multiple</t>
  </si>
  <si>
    <t>x</t>
  </si>
  <si>
    <t>Infra/energy M&amp;A comps</t>
  </si>
  <si>
    <t>Benchmark transaction comps</t>
  </si>
  <si>
    <t>Perpetuity growth rate</t>
  </si>
  <si>
    <t>Long-run GDP proxy</t>
  </si>
  <si>
    <t>Pre-money valuation</t>
  </si>
  <si>
    <t>Founder placeholder</t>
  </si>
  <si>
    <t>Set from Valuation range (FD-03)</t>
  </si>
  <si>
    <t>Replace with pilot actuals</t>
  </si>
  <si>
    <t>Mature hub monthly opex (Base)</t>
  </si>
  <si>
    <t>Couriers per mature hub (Base)</t>
  </si>
  <si>
    <t>Ops plan</t>
  </si>
  <si>
    <t>Validate vs pilot density</t>
  </si>
  <si>
    <t>Hub utilization (Base)</t>
  </si>
  <si>
    <t>Pilot throughput; breakeven needs ~91%</t>
  </si>
  <si>
    <t>Smoot comp bench</t>
  </si>
  <si>
    <t>Signed LOIs; breakeven price ~760k</t>
  </si>
  <si>
    <t>BI mid-rate (undated)</t>
  </si>
  <si>
    <t>Pin dated BI/JISDOR; resolve 16k vs 18,039 (FD-04)</t>
  </si>
  <si>
    <t>Battery degradation</t>
  </si>
  <si>
    <t>%/yr</t>
  </si>
  <si>
    <t>First-party cycle test (FD-07)</t>
  </si>
  <si>
    <t>Battery replacement rate</t>
  </si>
  <si>
    <t>/yr</t>
  </si>
  <si>
    <t>[Missing First-Party Data] — cycle test</t>
  </si>
  <si>
    <t>Warranty reserve</t>
  </si>
  <si>
    <t>% rev</t>
  </si>
  <si>
    <t>Field failure data</t>
  </si>
  <si>
    <t>Revenue scenario multipliers (Cons/Base/Aggr)</t>
  </si>
  <si>
    <t>0.75 / 1.00 / 1.25</t>
  </si>
  <si>
    <t>Scenario design</t>
  </si>
  <si>
    <t>Calibrate to sales pipeline</t>
  </si>
  <si>
    <t>FD-09</t>
  </si>
  <si>
    <t>TURNAROUND LEVERS — PATH TO HUB EBITDA &gt; 0 (blended) [Inference targets]</t>
  </si>
  <si>
    <t>Founder-adjustable targets. Blue = [Inference] (strategy, not from workbook). Base hub opex &amp; EBITDA pulled live from Swap Hub Econ.</t>
  </si>
  <si>
    <t>LEVER A — Target swap price (IDR/mo) [Inference]</t>
  </si>
  <si>
    <t>vs base 500k / breakeven-only 760k</t>
  </si>
  <si>
    <t>LEVER B — Target utilization [Inference]</t>
  </si>
  <si>
    <t>vs base 60% / breakeven-only 91%</t>
  </si>
  <si>
    <t>LEVER B2 — Couriers per hub (density) [Inference]</t>
  </si>
  <si>
    <t>vs base 50 — density, not more hubs</t>
  </si>
  <si>
    <t>LEVER C — Opex efficiency cut % [Inference]</t>
  </si>
  <si>
    <t>rent/staff/maint/battery handling; target 15-25%</t>
  </si>
  <si>
    <t>Base mature-hub EBITDA (live)</t>
  </si>
  <si>
    <t>New annual revenue = couriers × util × price × 12</t>
  </si>
  <si>
    <t>Battery replacement reserve (2.5% rev)</t>
  </si>
  <si>
    <t>NEW mature-hub EBITDA (blended levers)</t>
  </si>
  <si>
    <t>Swing vs base</t>
  </si>
  <si>
    <t>Caveat</t>
  </si>
  <si>
    <t>Opex cut applied to base-50-courier cost; higher density will raise some variable cost — re-estimate opex split (fixed vs variable) with pilot data before committing.</t>
  </si>
  <si>
    <t>SINGLE LEVER ALONE (why a blend is required)</t>
  </si>
  <si>
    <t>Price-only @760k (util 60%, 50 couriers)</t>
  </si>
  <si>
    <t>Utilization-only @91% (price 500k)</t>
  </si>
  <si>
    <t>Opex-cut-only @20% (price 500k, util 60%)</t>
  </si>
  <si>
    <t>ROLLOUT FREEZE RULE</t>
  </si>
  <si>
    <t>NO new hub cohort unless mature-hub EBITDA &gt; 0 under base case. Scaling a loss-making unit only accelerates losses.</t>
  </si>
  <si>
    <t>Live gate</t>
  </si>
  <si>
    <t>FOUNDER ACTION PLAN — 30 DAYS [Inference]</t>
  </si>
  <si>
    <t>Target / proof point</t>
  </si>
  <si>
    <t>Wk1: Pricing test + courier willingness-to-pay survey (Rp600–650k, bundling)</t>
  </si>
  <si>
    <t>Price the market accepts without demand drop</t>
  </si>
  <si>
    <t>Confirm hub capacity at high density</t>
  </si>
  <si>
    <t>Wk2–3: Opex teardown — rent/staff/maint/battery handling; micro/modular hub option</t>
  </si>
  <si>
    <t>Ops/Finance</t>
  </si>
  <si>
    <t>15–25% opex cut, fixed vs variable split</t>
  </si>
  <si>
    <t>Wk2–4: Battery cycle test (Test_Plan SBP-T02)</t>
  </si>
  <si>
    <t>Validate replace rate &amp; degradation [Missing First-Party Data]</t>
  </si>
  <si>
    <t>Finance/Founder</t>
  </si>
  <si>
    <t>Go/No-go gate for scaling</t>
  </si>
  <si>
    <t>Funding_Plan</t>
  </si>
  <si>
    <t>Scenario_CF</t>
  </si>
  <si>
    <t>Cohort_Economics</t>
  </si>
  <si>
    <t>Exec_Fin_Dashboard</t>
  </si>
  <si>
    <t>Assumptions_Log</t>
  </si>
  <si>
    <t>Change_Log</t>
  </si>
  <si>
    <t>Base annual opex (Base hub, live)</t>
  </si>
  <si>
    <t>Base fixed opex</t>
  </si>
  <si>
    <t>Base variable opex (energy, battery handling)</t>
  </si>
  <si>
    <t>Throughput scaling = new (couriers×util) / base</t>
  </si>
  <si>
    <t>OPEX FIXED / VARIABLE SPLIT (variable scales with courier×utilisation throughput)</t>
  </si>
  <si>
    <t>Fixed share % (rent, base staff) [Assumption]</t>
  </si>
  <si>
    <t>Refined annual opex = fixed×(1−cut) + variable×scaling×(1−cut)</t>
  </si>
  <si>
    <t>Variable opex scales with density; fixed benefits fully from cut. More conservative than flat scaling. Confirm split with pilot cost data.</t>
  </si>
  <si>
    <t>New annual opex (fixed/var split — see row 71)</t>
  </si>
  <si>
    <t xml:space="preserve"> - Min ending cash (original)</t>
  </si>
  <si>
    <t>- floor applied to every year's ending cash</t>
  </si>
  <si>
    <t>Total equity raises (existing + new) - CF row 16</t>
  </si>
  <si>
    <t>Total debt raises (existing + facility + asset fin) - CF row 17</t>
  </si>
  <si>
    <t xml:space="preserve"> - Min ending cash (pro-forma) — must be ≥ buffer</t>
  </si>
  <si>
    <t>- placeholder; refine from Valuation sheet (FD-03)</t>
  </si>
  <si>
    <t>WACC (build-up) - used in DCF</t>
  </si>
  <si>
    <t>- NPV of FCFF @ WACC</t>
  </si>
  <si>
    <t>- Min ending cash</t>
  </si>
  <si>
    <t>- Break-even EBITDA year</t>
  </si>
  <si>
    <t>Utilization -</t>
  </si>
  <si>
    <t>- Each lever alone stays negative; only the blend clears EBITDA &gt; 0.</t>
  </si>
  <si>
    <t>Wk1–2: Density plan — active couriers/hub -55–70 w/o swap-bay bottleneck</t>
  </si>
  <si>
    <t>Wk4: Refresh levers above with pilot data; if hub EBITDA&gt;0 - unlock staged rollout</t>
  </si>
  <si>
    <t>- NEGATIVE: unit economics don't clear at base price/util</t>
  </si>
  <si>
    <t>- vs 60% assumed</t>
  </si>
  <si>
    <t>Equity raises hardcoded; total funding short of capex - ending cash negative Y1/Y2/Y5</t>
  </si>
  <si>
    <t>Added monthly-annual reconciliation (Revenue &amp; EBITDA Y1/Y2)</t>
  </si>
  <si>
    <t>VOLTLOOP — CONTENTS</t>
  </si>
  <si>
    <t>Contents</t>
  </si>
  <si>
    <t>Model Checks</t>
  </si>
  <si>
    <t>FINANCE MODEL</t>
  </si>
  <si>
    <t>All control/finance sheets</t>
  </si>
  <si>
    <t>Machine-style sheet names, emojis and review annotations</t>
  </si>
  <si>
    <t>Renamed to professional names (e.g. Audit Summary, Contents, Model Checks); removed all emojis and review wording</t>
  </si>
  <si>
    <t>Presentation-ready, founder-authored appearance</t>
  </si>
  <si>
    <t>Duplicate assumption register</t>
  </si>
  <si>
    <t>Deleted (0 formula references); consolidated into Assumptions_Log</t>
  </si>
  <si>
    <t>Removed redundancy</t>
  </si>
  <si>
    <t>Duplicate change register</t>
  </si>
  <si>
    <t>Deleted (0 formula references); consolidated into this Change_Log</t>
  </si>
  <si>
    <t>Contents, Start Here</t>
  </si>
  <si>
    <t>Navigation links pointed to old/removed sheet names</t>
  </si>
  <si>
    <t>Rebuilt indexes and hyperlinks for current sheet set</t>
  </si>
  <si>
    <t>Working navigation</t>
  </si>
  <si>
    <t>OPERATING LEVERS (Y5 target contribution)</t>
  </si>
  <si>
    <t>Driver A</t>
  </si>
  <si>
    <t>Driver B</t>
  </si>
  <si>
    <t>Margin/%</t>
  </si>
  <si>
    <t>Y5 EBITDA contrib</t>
  </si>
  <si>
    <t>VoltOS platform SaaS (batteries under mgmt × fee)</t>
  </si>
  <si>
    <t>VoltSmart diagnostics-as-a-service (B2B/OEM contracts)</t>
  </si>
  <si>
    <t>Anchor B2B fleet swap contracts (incremental volume)</t>
  </si>
  <si>
    <t>rev × contribution</t>
  </si>
  <si>
    <t>Mature-hub price/utilisation optimization (FD-25)</t>
  </si>
  <si>
    <t>see Cohort_Economics levers</t>
  </si>
  <si>
    <t>Opex efficiency — SG&amp;A cut (live base × cut%)</t>
  </si>
  <si>
    <t>SG&amp;A base (live)</t>
  </si>
  <si>
    <t>Battery lifecycle saving (VoltSmart/VoltOS — COGS base × saving%)</t>
  </si>
  <si>
    <t>COGS base (live)</t>
  </si>
  <si>
    <t>TOTAL Y5 EBITDA IMPROVEMENT</t>
  </si>
  <si>
    <t>RAMP — improvement applied per year (initiatives launch ~Y3)</t>
  </si>
  <si>
    <t>Ramp factor [Assumption]</t>
  </si>
  <si>
    <t>EBITDA improvement applied → P&amp;L row 15</t>
  </si>
  <si>
    <t>BREAK-EVEN BRIDGE — Y5 NET INCOME</t>
  </si>
  <si>
    <t>Starting Y5 Net Income [reference, pre-improvement]</t>
  </si>
  <si>
    <t>+ Revenue levers (VoltOS SaaS + VoltSmart DaaS + anchor fleet)</t>
  </si>
  <si>
    <t>+ Mature-hub price/utilisation optimization (FD-25)</t>
  </si>
  <si>
    <t>+ Opex efficiency (SG&amp;A)</t>
  </si>
  <si>
    <t>+ Battery lifecycle saving (VoltSmart/VoltOS)</t>
  </si>
  <si>
    <t>= Pre-tax Y5 Net Income after improvement</t>
  </si>
  <si>
    <t>Less: corporate tax @ 22% (on positive pre-tax)</t>
  </si>
  <si>
    <t>= Ending Y5 Net Income (bridge)</t>
  </si>
  <si>
    <t>Y5 Net Income — LIVE from P&amp;L (post-injection)</t>
  </si>
  <si>
    <t>CHECK: Y5 Net Income ≥ Rp0</t>
  </si>
  <si>
    <t>Improvement enters P&amp;L at EBITDA (row 15) and cascades through Operating Income, Net Income, Cash Flow and Balance Sheet. Levers ramp from Y3; Y1-Y2 stay sub-scale (early gross-margin warning FD-13 preserved).</t>
  </si>
  <si>
    <t>FD-25 TARGET CASE — MATURE HUB EBITDA ≥ Rp250M/yr</t>
  </si>
  <si>
    <t>Operational blend + high-margin per-hub platform revenue (VoltOS/VoltSmart) that does not add swap-bay variable cost. Blue = [Assumption].</t>
  </si>
  <si>
    <t>Target price (IDR/mo) [Assumption]</t>
  </si>
  <si>
    <t>Target utilization [Assumption]</t>
  </si>
  <si>
    <t>Couriers per hub (density) [Assumption]</t>
  </si>
  <si>
    <t>Opex efficiency cut [Assumption]</t>
  </si>
  <si>
    <t>Swap revenue/hub/yr = couriers×util×price×12</t>
  </si>
  <si>
    <t>Refined opex (fixed/var split, throughput-scaled)</t>
  </si>
  <si>
    <t>Battery reserve (2.5% swap rev)</t>
  </si>
  <si>
    <t>Swap EBITDA/hub</t>
  </si>
  <si>
    <t>Per-hub platform revenue (VoltOS/VoltSmart) [Assumption]</t>
  </si>
  <si>
    <t>Platform gross margin [Assumption]</t>
  </si>
  <si>
    <t>TARGET mature-hub EBITDA/yr</t>
  </si>
  <si>
    <t>Check: ≥ Rp250M/yr</t>
  </si>
  <si>
    <t>Gate</t>
  </si>
  <si>
    <t>Expansion stays gated until live mature-hub EBITDA (row 17 / blended row 43) turns positive; target case shows the driver mix to clear +Rp250M.</t>
  </si>
  <si>
    <t>VOLTLOOP — SCENARIO CASH FLOWS &amp; INVESTOR RETURNS (live)</t>
  </si>
  <si>
    <t>FCFF &amp; EBITDA linked from Scenario_CF; terminal value = exit multiple × scenario Y5 EBITDA. IRR/MOIC are live (replaces placeholders). WACC &amp; exit multiple from Valuation.</t>
  </si>
  <si>
    <t>Terminal value (exit)</t>
  </si>
  <si>
    <t>FCFF Y1</t>
  </si>
  <si>
    <t>FCFF Y2</t>
  </si>
  <si>
    <t>FCFF Y3</t>
  </si>
  <si>
    <t>FCFF Y4</t>
  </si>
  <si>
    <t>FCFF Y5 + terminal</t>
  </si>
  <si>
    <t>Enterprise value = NPV(WACC, Y1..Y5+TV)</t>
  </si>
  <si>
    <t>Equity value</t>
  </si>
  <si>
    <t>Project IRR (FCFF + terminal)</t>
  </si>
  <si>
    <t>Investor equity invested (new round)</t>
  </si>
  <si>
    <t>Investor ownership %</t>
  </si>
  <si>
    <t>Investor exit value = ownership × equity</t>
  </si>
  <si>
    <t>Equity IRR (4-yr hold) [Assumption]</t>
  </si>
  <si>
    <t>Read</t>
  </si>
  <si>
    <t>Business (project) IRR is strong, but investor MOIC depends on entry price. If MOIC &lt; 1x, the pre-money in Funding_Plan (placeholder Rp120B) is above intrinsic equity value — lower it toward the DCF equity value (FD-03). Returns are terminal-value-driven; see Sensitivity_Y5_Breakeven.</t>
  </si>
  <si>
    <t>VOLTLOOP — SENSITIVITY: VALUATION &amp; Y5 BREAK-EVEN</t>
  </si>
  <si>
    <t>Base-case equity value (with terminal) and Y5 net income, sensitised to key drivers. Live-linked. Center cell = current base assumptions.</t>
  </si>
  <si>
    <t>TABLE A — Base equity value: WACC (rows) × Exit EV/EBITDA multiple (cols)</t>
  </si>
  <si>
    <t>WACC \ Exit</t>
  </si>
  <si>
    <t>TABLE B — Y5 Net Income vs total operating improvement (FD-11 levers)</t>
  </si>
  <si>
    <t>Improvement (Rp)</t>
  </si>
  <si>
    <t>Y5 Net Income</t>
  </si>
  <si>
    <t>Current plan = Rp6.659B improvement (green col) → Y5 NI ≈ +Rp0.89B. Break-even threshold ≈ Rp5.513B. FD-11 improvement lifts equity value materially (compare Table A to pre-fix).</t>
  </si>
  <si>
    <t>VOLTLOOP — FOUNDER DECISION LOG</t>
  </si>
  <si>
    <t>Status is formula-linked to the live model where possible. Priorities: P0 highest. 2026.</t>
  </si>
  <si>
    <t>Target / Metric</t>
  </si>
  <si>
    <t>Status (live)</t>
  </si>
  <si>
    <t>FD-11</t>
  </si>
  <si>
    <t>Y5 Net Income must reach at least break-even</t>
  </si>
  <si>
    <t>Operating levers: VoltOS SaaS, VoltSmart DaaS, anchor fleet, hub price/utilization, opex efficiency, battery lifecycle</t>
  </si>
  <si>
    <t>Y5 NI ≥ Rp0</t>
  </si>
  <si>
    <t>FD-25</t>
  </si>
  <si>
    <t>Mature-hub EBITDA must turn positive before aggressive scale-up</t>
  </si>
  <si>
    <t>Fix price / utilization / cost / capex drivers + per-hub platform revenue</t>
  </si>
  <si>
    <t>Mature hub EBITDA ≥ Rp250M/yr</t>
  </si>
  <si>
    <t>FD-17</t>
  </si>
  <si>
    <t>Replace placeholder IRR with live scenario IRR</t>
  </si>
  <si>
    <t>Built linked scenario FCF + terminal + equity + MOIC + IRR (Scenario_CashFlows)</t>
  </si>
  <si>
    <t>Live, not placeholder</t>
  </si>
  <si>
    <t>FD-18</t>
  </si>
  <si>
    <t>Monthly runway must reconcile to annual model</t>
  </si>
  <si>
    <t>Tie monthly revenue/opex/capex/funding/ending cash to annual; label timing</t>
  </si>
  <si>
    <t>Variance explained or corrected</t>
  </si>
  <si>
    <t>Keep base NPV warning if negative; explain terminal value sensitivity</t>
  </si>
  <si>
    <t>Valuation sensitivity added (Sensitivity_Y5_Breakeven); show FD-11 impact</t>
  </si>
  <si>
    <t>Transparent, not manipulated</t>
  </si>
  <si>
    <t>OK — sensitivity live</t>
  </si>
  <si>
    <t>Set pre-money so investor returns are defensible</t>
  </si>
  <si>
    <t>Current Rp120B pre-money exceeds DCF equity (~Rp38B base) → investor MOIC &lt;1x</t>
  </si>
  <si>
    <t>Pre-money ≈ intrinsic equity</t>
  </si>
  <si>
    <t>Calib. factor (annual/monthly)</t>
  </si>
  <si>
    <t>Annual statements are authoritative. Monthly model is indicative for runway timing; apply calibration factors (col G) to align monthly drivers to annual, or treat residual as phasing/timing. Resolve before investor use (FD-18).</t>
  </si>
  <si>
    <t>="Year "&amp;YEAR('P&amp;L'!H17)</t>
  </si>
  <si>
    <t>VOLTLOOP — READING GUIDE</t>
  </si>
  <si>
    <t>How to read this workbook: a 5-minute path for a first look, then the full build order. Click any sheet name to jump.</t>
  </si>
  <si>
    <t>5-MINUTE INVESTOR PATH</t>
  </si>
  <si>
    <t>Step</t>
  </si>
  <si>
    <t>What it answers</t>
  </si>
  <si>
    <t>The whole picture: revenue, EBITDA, cash, NPV, finance score</t>
  </si>
  <si>
    <t>The pitch: problem, solution, market, why now</t>
  </si>
  <si>
    <t>Does ONE mature hub make money? (the core question)</t>
  </si>
  <si>
    <t>BreakEven_Bridge</t>
  </si>
  <si>
    <t>Is the cash enough? Funding gap closed, buffer held</t>
  </si>
  <si>
    <t>What decisions are still open before scaling</t>
  </si>
  <si>
    <t>FULL BUILD ORDER (how the model flows, left to right)</t>
  </si>
  <si>
    <t>Section / lead sheet</t>
  </si>
  <si>
    <t>What it covers</t>
  </si>
  <si>
    <t>Business story: problem, solution, target market</t>
  </si>
  <si>
    <t>Problem, market size (TAM/SAM/SOM), customers, competitors</t>
  </si>
  <si>
    <t>Product &amp; technology: VoltSwap, VoltOS, VoltSmart, VoltGrid + BOMs</t>
  </si>
  <si>
    <t>The input engine — every key driver lives here</t>
  </si>
  <si>
    <t>How money is made: price × volume, per stream</t>
  </si>
  <si>
    <t>Unit economics per hub &amp; microgrid (feeds Cohort_Economics)</t>
  </si>
  <si>
    <t>Cost structure (COGS, opex) and Capex Schedule</t>
  </si>
  <si>
    <t>Income statement → Cash Flow → Balance Sheet (3-statement, linked)</t>
  </si>
  <si>
    <t>Funding plan: blended financing closes the cash gap + buffer</t>
  </si>
  <si>
    <t>Scenario_CashFlows</t>
  </si>
  <si>
    <t>Conservative / Base / Aggressive: EBITDA, FCF, IRR, MOIC</t>
  </si>
  <si>
    <t>5-yr DCF, terminal value, WACC; Sensitivity_Y5_Breakeven for ranges</t>
  </si>
  <si>
    <t>Open decisions + FD_Decision_Log (FD-11/25/17/18/09/03)</t>
  </si>
  <si>
    <t>How Y5 net income reaches break-even (+Rp0.89B) — TARGET, driven by assumed operating levers (not yet pilot-proven)</t>
  </si>
  <si>
    <t>Index of all sheets by section</t>
  </si>
  <si>
    <t>FD-11: assumed operating levers that take Y5 NI from -5.5B to +0.9B (target, not pilot-proven)</t>
  </si>
  <si>
    <t>Capex-heavy energy-infrastructure bet, not a 5-year profit story. Funding gap is closed ON PLAN (assumes the Rp11B equity + Rp4.5B debt raise is completed). Y5 net income reaches break-even (+Rp0.9B) and EBITDA turns positive from Y3 ONLY IF the +Rp6.66B operating levers prove out — today these are assumptions, not pilot data. The gating risk: one mature hub still loses money at base (-Rp93.6M/yr); scale only after hub EBITDA &gt; 0. Valuation is almost entirely terminal-value-driven (NPV excluding terminal is negative), and at the current Rp120B pre-money the investor MOIC is below 1x in every scenario. Verdict: worth an angel/seed conversation; NOT institutional-ready until (1) hub economics are proven, (2) the break-even levers are validated, and (3) pre-money is aligned to intrinsic value.</t>
  </si>
  <si>
    <t>KEY RISKS — READ BEFORE THE NUMBERS</t>
  </si>
  <si>
    <t>1. Valuation ~100% terminal-dependent: NPV excluding terminal value is negative (-Rp46B). Enterprise value is positive only because of the terminal/exit value.</t>
  </si>
  <si>
    <t>2. Investor MOIC &lt; 1x in ALL scenarios at the current Rp120B pre-money (Base 0.29x). Entry valuation must come down toward intrinsic equity (~Rp38B base) for investors to make money.</t>
  </si>
  <si>
    <t>3. Y5 break-even and EBITDA-positive-from-Y3 both depend on +Rp6.66B operating levers labelled [Assumption] (VoltOS/VoltSmart, anchor fleet, opex, battery lifecycle) — not yet validated in a pilot.</t>
  </si>
  <si>
    <t>4. One mature hub still loses money at base case (-Rp93.6M/yr). Expansion is gated until mature-hub EBITDA turns positive; target case shows +Rp255.9M/hub is reachable.</t>
  </si>
  <si>
    <t>5. Funding sufficiency and 'no negative cash' hold ON PLAN — they assume the new raise is completed. Numbers are model outputs; figures sourced from the pitch deck are unchanged.</t>
  </si>
  <si>
    <t>NAVIGATION &amp; CONTROL</t>
  </si>
  <si>
    <t>Reading Guide</t>
  </si>
  <si>
    <t>FD_Decision_Log</t>
  </si>
  <si>
    <t>Sensitivity_Y5_Breakeven</t>
  </si>
  <si>
    <t>Index of all sheets &amp; how to read this workbook</t>
  </si>
  <si>
    <t>Audit trail: Assumptions_Log (every assumption, source, status), Change_Log (every edit), FD_Decision_Log (open decisions)</t>
  </si>
  <si>
    <t>EBITDA break-even year</t>
  </si>
  <si>
    <t>6. Model ties to the pitch deck: revenue, COGS, EBITDA, break-even Year 3, NI-positive Year 5, and min cash all MATCH (see Deck_Reconciliation). Two deck claims are NOT reproduced: net margin 36% (model ~1.4% after D&amp;A) and the larger ~Rp122B funding ask.</t>
  </si>
  <si>
    <t>Operating-efficiency plan bringing OpEx from ~26% to ~15.6% of revenue by Y5 (now reflected directly in P&amp;L OpEx ratios, rows 26-28). Closes Y5 net income from -Rp5.51B to +Rp0.89B (break-even). Levers below are [Assumption] targets to validate in pilot.</t>
  </si>
  <si>
    <t>VOLTLOOP — MODEL INTEGRITY CHECKS</t>
  </si>
  <si>
    <t>Live linkage and integrity checks across the three statements. Status updates automatically.</t>
  </si>
  <si>
    <t>Result</t>
  </si>
  <si>
    <t>Balance Sheet balances (Assets = Liab + Equity), all 5 years</t>
  </si>
  <si>
    <t>Max |check|</t>
  </si>
  <si>
    <t>Net income (P&amp;L) flows to Cash Flow, Y1 &amp; Y5</t>
  </si>
  <si>
    <t>Difference</t>
  </si>
  <si>
    <t>Revenue (P&amp;L) ties to Revenue Model, Y5</t>
  </si>
  <si>
    <t>Capex Schedule ties to Cash Flow investing, Y1 &amp; Y5</t>
  </si>
  <si>
    <t>Ending cash (Cash Flow) ties to Balance Sheet cash, Y5</t>
  </si>
  <si>
    <t>Minimum ending cash ≥ target buffer (Rp3.0B)</t>
  </si>
  <si>
    <t>Min cash</t>
  </si>
  <si>
    <t>Net income positive by Year 5</t>
  </si>
  <si>
    <t>Y5 net income</t>
  </si>
  <si>
    <t>Funding sufficient vs deployment (min annual surplus ≥ 0)</t>
  </si>
  <si>
    <t>Min surplus</t>
  </si>
  <si>
    <t>Gross profit = Revenue − COGS, Y5</t>
  </si>
  <si>
    <t>EBITDA = Gross profit − Operating expenses, Y5</t>
  </si>
  <si>
    <t>No formula errors in core statements (P&amp;L, Cash Flow, Balance Sheet)</t>
  </si>
  <si>
    <t>Error count</t>
  </si>
  <si>
    <t>Checks passing (OK)</t>
  </si>
  <si>
    <t>Checks needing review</t>
  </si>
  <si>
    <t>Reviewed as of</t>
  </si>
  <si>
    <t>FY2026 model</t>
  </si>
  <si>
    <t>Click any sheet to open. Grouped by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</si>
</sst>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quot;Rp &quot;#,##0.0,,\M;&quot;(Rp &quot;#,##0.0,,&quot;M)&quot;;\-"/>
    <numFmt numFmtId="165" formatCode="0.0%;\(0.0%\);\-"/>
    <numFmt numFmtId="166" formatCode="#,##0&quot; t&quot;"/>
    <numFmt numFmtId="167" formatCode="#,##0;\(#,##0\);\-"/>
    <numFmt numFmtId="168" formatCode="#,##0.0;\(#,##0.0\);\-"/>
    <numFmt numFmtId="169" formatCode="&quot;Rp &quot;#,##0;&quot;(Rp &quot;#,##0\);\-"/>
    <numFmt numFmtId="170" formatCode="0%;\(0%\);\-"/>
    <numFmt numFmtId="171" formatCode="&quot;Rp &quot;#,##0,&quot;jt&quot;;&quot;(Rp &quot;#,##0,&quot;jt)&quot;;\-"/>
    <numFmt numFmtId="172" formatCode="0.0\x"/>
    <numFmt numFmtId="173" formatCode="0.0%"/>
    <numFmt numFmtId="174" formatCode="#,##0.0"/>
    <numFmt numFmtId="175" formatCode="0.0&quot;x&quot;"/>
    <numFmt numFmtId="176" formatCode="&quot;Rp&quot;#,##0.0000"/>
    <numFmt numFmtId="177" formatCode="&quot;Rp&quot;#,##0.00"/>
    <numFmt numFmtId="178" formatCode="0.0"/>
    <numFmt numFmtId="179" formatCode="#,##0;\(#,##0\)"/>
    <numFmt numFmtId="180" formatCode="0.000"/>
    <numFmt numFmtId="181" formatCode="0.00&quot;x&quot;"/>
    <numFmt numFmtId="182" formatCode="#,##0;\(#,##0\);&quot;-&quot;"/>
    <numFmt numFmtId="183" formatCode="0&quot;x&quot;"/>
    <numFmt numFmtId="184" formatCode="0.00\x"/>
    <numFmt numFmtId="185" formatCode="0\x"/>
  </numFmts>
  <fonts count="138" x14ac:knownFonts="1">
    <font>
      <sz val="11"/>
      <color theme="1"/>
      <name val="Calibri"/>
      <family val="2"/>
      <charset val="1"/>
    </font>
    <font>
      <sz val="11"/>
      <color theme="1"/>
      <name val="Calibri"/>
      <family val="2"/>
      <scheme val="minor"/>
    </font>
    <font>
      <b/>
      <sz val="18"/>
      <color rgb="FFFFFFFF"/>
      <name val="Arial"/>
      <family val="2"/>
    </font>
    <font>
      <i/>
      <sz val="11"/>
      <color rgb="FF6C757D"/>
      <name val="Arial"/>
      <family val="2"/>
    </font>
    <font>
      <b/>
      <sz val="11"/>
      <color rgb="FF000000"/>
      <name val="Arial"/>
      <family val="2"/>
    </font>
    <font>
      <b/>
      <sz val="12"/>
      <color rgb="FFFF6B00"/>
      <name val="Arial"/>
      <family val="2"/>
    </font>
    <font>
      <i/>
      <sz val="9"/>
      <color rgb="FF6C757D"/>
      <name val="Arial"/>
      <family val="2"/>
    </font>
    <font>
      <b/>
      <sz val="12"/>
      <color rgb="FFFFFFFF"/>
      <name val="Arial"/>
      <family val="2"/>
    </font>
    <font>
      <b/>
      <sz val="9"/>
      <color rgb="FF6C757D"/>
      <name val="Arial"/>
      <family val="2"/>
    </font>
    <font>
      <b/>
      <sz val="14"/>
      <color rgb="FF0F5132"/>
      <name val="Arial"/>
      <family val="2"/>
    </font>
    <font>
      <b/>
      <sz val="10"/>
      <color rgb="FFFFFFFF"/>
      <name val="Arial"/>
      <family val="2"/>
    </font>
    <font>
      <b/>
      <sz val="10"/>
      <color rgb="FF000000"/>
      <name val="Arial"/>
      <family val="2"/>
    </font>
    <font>
      <sz val="10"/>
      <color rgb="FF008000"/>
      <name val="Arial"/>
      <family val="2"/>
    </font>
    <font>
      <b/>
      <i/>
      <sz val="14"/>
      <color rgb="FF0F5132"/>
      <name val="Arial"/>
      <family val="2"/>
    </font>
    <font>
      <b/>
      <sz val="12"/>
      <color rgb="FF0000FF"/>
      <name val="Arial"/>
      <family val="2"/>
    </font>
    <font>
      <b/>
      <sz val="10"/>
      <color rgb="FF0000FF"/>
      <name val="Arial"/>
      <family val="2"/>
    </font>
    <font>
      <b/>
      <sz val="10"/>
      <color rgb="FF008000"/>
      <name val="Arial"/>
      <family val="2"/>
    </font>
    <font>
      <sz val="10"/>
      <color rgb="FF000000"/>
      <name val="Arial"/>
      <family val="2"/>
    </font>
    <font>
      <sz val="10"/>
      <color rgb="FF0000FF"/>
      <name val="Arial"/>
      <family val="2"/>
    </font>
    <font>
      <b/>
      <sz val="10"/>
      <color rgb="FFFF6B00"/>
      <name val="Arial"/>
      <family val="2"/>
    </font>
    <font>
      <sz val="9"/>
      <color rgb="FF000000"/>
      <name val="Arial"/>
      <family val="2"/>
    </font>
    <font>
      <b/>
      <sz val="10"/>
      <color rgb="FF0F5132"/>
      <name val="Arial"/>
      <family val="2"/>
    </font>
    <font>
      <b/>
      <sz val="11"/>
      <color rgb="FF0F5132"/>
      <name val="Arial"/>
      <family val="2"/>
    </font>
    <font>
      <b/>
      <sz val="12"/>
      <color rgb="FF0F5132"/>
      <name val="Arial"/>
      <family val="2"/>
    </font>
    <font>
      <b/>
      <i/>
      <sz val="10"/>
      <color rgb="FF0F5132"/>
      <name val="Arial"/>
      <family val="2"/>
    </font>
    <font>
      <i/>
      <sz val="8"/>
      <color rgb="FF6C757D"/>
      <name val="Arial"/>
      <family val="2"/>
    </font>
    <font>
      <b/>
      <sz val="10"/>
      <color rgb="FFDC3545"/>
      <name val="Arial"/>
      <family val="2"/>
    </font>
    <font>
      <b/>
      <i/>
      <sz val="10"/>
      <color rgb="FF000000"/>
      <name val="Arial"/>
      <family val="2"/>
    </font>
    <font>
      <i/>
      <sz val="9"/>
      <color rgb="FFFFC107"/>
      <name val="Arial"/>
      <family val="2"/>
    </font>
    <font>
      <b/>
      <sz val="9"/>
      <color rgb="FF000000"/>
      <name val="Arial"/>
      <family val="2"/>
    </font>
    <font>
      <b/>
      <sz val="11"/>
      <color theme="1"/>
      <name val="Calibri"/>
      <family val="2"/>
      <scheme val="minor"/>
    </font>
    <font>
      <b/>
      <sz val="14"/>
      <color theme="1"/>
      <name val="Calibri"/>
      <family val="2"/>
      <scheme val="minor"/>
    </font>
    <font>
      <i/>
      <sz val="12"/>
      <color rgb="FFFFFFFF"/>
      <name val="Calibri"/>
      <family val="2"/>
      <scheme val="minor"/>
    </font>
    <font>
      <b/>
      <sz val="22"/>
      <color rgb="FFFFFFFF"/>
      <name val="Calibri"/>
      <family val="2"/>
      <scheme val="minor"/>
    </font>
    <font>
      <i/>
      <sz val="11"/>
      <color theme="1"/>
      <name val="Calibri"/>
      <family val="2"/>
      <scheme val="minor"/>
    </font>
    <font>
      <b/>
      <sz val="16"/>
      <color rgb="FFFFFFFF"/>
      <name val="Calibri"/>
      <family val="2"/>
      <scheme val="minor"/>
    </font>
    <font>
      <b/>
      <sz val="13"/>
      <color rgb="FFFFFFFF"/>
      <name val="Calibri"/>
      <family val="2"/>
      <scheme val="minor"/>
    </font>
    <font>
      <b/>
      <sz val="14"/>
      <color rgb="FFFFFFFF"/>
      <name val="Calibri"/>
      <family val="2"/>
      <scheme val="minor"/>
    </font>
    <font>
      <b/>
      <sz val="11"/>
      <color rgb="FF117A65"/>
      <name val="Calibri"/>
      <family val="2"/>
      <scheme val="minor"/>
    </font>
    <font>
      <b/>
      <sz val="12"/>
      <color rgb="FFFFFFFF"/>
      <name val="Calibri"/>
      <family val="2"/>
      <scheme val="minor"/>
    </font>
    <font>
      <i/>
      <sz val="11"/>
      <color rgb="FF7F8C8D"/>
      <name val="Calibri"/>
      <family val="2"/>
      <scheme val="minor"/>
    </font>
    <font>
      <b/>
      <sz val="11"/>
      <color rgb="FFFFFFFF"/>
      <name val="Calibri"/>
      <family val="2"/>
      <scheme val="minor"/>
    </font>
    <font>
      <b/>
      <sz val="11"/>
      <color rgb="FF0B5345"/>
      <name val="Calibri"/>
      <family val="2"/>
      <scheme val="minor"/>
    </font>
    <font>
      <b/>
      <sz val="13"/>
      <color theme="1"/>
      <name val="Calibri"/>
      <family val="2"/>
      <scheme val="minor"/>
    </font>
    <font>
      <u/>
      <sz val="11"/>
      <color theme="10"/>
      <name val="Calibri"/>
      <family val="2"/>
      <charset val="1"/>
    </font>
    <font>
      <i/>
      <sz val="11"/>
      <color rgb="FF666666"/>
      <name val="Calibri"/>
      <family val="2"/>
      <charset val="1"/>
    </font>
    <font>
      <b/>
      <sz val="11"/>
      <color rgb="FFFFFFFF"/>
      <name val="Calibri"/>
      <family val="2"/>
      <charset val="1"/>
    </font>
    <font>
      <sz val="10"/>
      <color theme="1"/>
      <name val="Calibri"/>
      <family val="2"/>
      <charset val="1"/>
    </font>
    <font>
      <b/>
      <sz val="10"/>
      <color theme="1"/>
      <name val="Calibri"/>
      <family val="2"/>
      <charset val="1"/>
    </font>
    <font>
      <b/>
      <sz val="11"/>
      <color theme="1"/>
      <name val="Calibri"/>
      <family val="2"/>
      <charset val="1"/>
    </font>
    <font>
      <b/>
      <sz val="11"/>
      <color rgb="FF0070C0"/>
      <name val="Calibri"/>
      <family val="2"/>
      <charset val="1"/>
    </font>
    <font>
      <sz val="11"/>
      <color rgb="FF0000FF"/>
      <name val="Calibri"/>
      <family val="2"/>
      <charset val="1"/>
    </font>
    <font>
      <i/>
      <sz val="9"/>
      <color rgb="FF666666"/>
      <name val="Calibri"/>
      <family val="2"/>
      <charset val="1"/>
    </font>
    <font>
      <sz val="9"/>
      <color indexed="81"/>
      <name val="Tahoma"/>
      <family val="2"/>
    </font>
    <font>
      <b/>
      <sz val="9"/>
      <color indexed="81"/>
      <name val="Tahoma"/>
      <family val="2"/>
    </font>
    <font>
      <b/>
      <sz val="10"/>
      <color rgb="FFFFFFFF"/>
      <name val="Arial"/>
      <family val="2"/>
    </font>
    <font>
      <sz val="11"/>
      <color rgb="FF198754"/>
      <name val="Calibri"/>
      <family val="2"/>
      <charset val="1"/>
    </font>
    <font>
      <sz val="11"/>
      <color rgb="FFFF6B00"/>
      <name val="Calibri"/>
      <family val="2"/>
      <charset val="1"/>
    </font>
    <font>
      <sz val="11"/>
      <color rgb="FF6F42C1"/>
      <name val="Calibri"/>
      <family val="2"/>
      <charset val="1"/>
    </font>
    <font>
      <sz val="11"/>
      <color rgb="FFDC3545"/>
      <name val="Calibri"/>
      <family val="2"/>
      <charset val="1"/>
    </font>
    <font>
      <sz val="10"/>
      <color theme="1"/>
      <name val="Arial"/>
      <family val="2"/>
    </font>
    <font>
      <sz val="10"/>
      <color rgb="FF0000FF"/>
      <name val="Arial"/>
      <family val="2"/>
    </font>
    <font>
      <sz val="10"/>
      <color rgb="FF198754"/>
      <name val="Arial"/>
      <family val="2"/>
    </font>
    <font>
      <u/>
      <sz val="10"/>
      <color theme="10"/>
      <name val="Arial"/>
      <family val="2"/>
    </font>
    <font>
      <sz val="10"/>
      <color rgb="FFFF6B00"/>
      <name val="Arial"/>
      <family val="2"/>
    </font>
    <font>
      <sz val="10"/>
      <color rgb="FF6F42C1"/>
      <name val="Arial"/>
      <family val="2"/>
    </font>
    <font>
      <sz val="10"/>
      <color rgb="FFFF0000"/>
      <name val="Arial"/>
      <family val="2"/>
    </font>
    <font>
      <sz val="10"/>
      <color rgb="FFDC3545"/>
      <name val="Arial"/>
      <family val="2"/>
    </font>
    <font>
      <sz val="10"/>
      <color rgb="FF0D6EFD"/>
      <name val="Arial"/>
      <family val="2"/>
    </font>
    <font>
      <b/>
      <sz val="10"/>
      <color rgb="FF0A2540"/>
      <name val="Calibri"/>
      <family val="2"/>
      <charset val="1"/>
    </font>
    <font>
      <sz val="9"/>
      <color rgb="FF000000"/>
      <name val="Arial"/>
      <family val="2"/>
    </font>
    <font>
      <sz val="9"/>
      <color rgb="FF6C757D"/>
      <name val="Arial"/>
      <family val="2"/>
    </font>
    <font>
      <b/>
      <sz val="10"/>
      <name val="Arial"/>
      <family val="2"/>
    </font>
    <font>
      <b/>
      <sz val="14"/>
      <color rgb="FF1F3864"/>
      <name val="Arial"/>
      <family val="2"/>
    </font>
    <font>
      <b/>
      <sz val="11"/>
      <color rgb="FF1F3864"/>
      <name val="Arial"/>
      <family val="2"/>
    </font>
    <font>
      <i/>
      <sz val="9"/>
      <color rgb="FF595959"/>
      <name val="Arial"/>
      <family val="2"/>
    </font>
    <font>
      <b/>
      <sz val="16"/>
      <color rgb="FFFFFFFF"/>
      <name val="Calibri"/>
      <family val="2"/>
      <charset val="1"/>
    </font>
    <font>
      <b/>
      <sz val="11"/>
      <color rgb="FF0000FF"/>
      <name val="Calibri"/>
      <family val="2"/>
      <charset val="1"/>
    </font>
    <font>
      <i/>
      <sz val="11"/>
      <color theme="1"/>
      <name val="Calibri"/>
      <family val="2"/>
      <charset val="1"/>
    </font>
    <font>
      <i/>
      <sz val="11"/>
      <color rgb="FF777777"/>
      <name val="Calibri"/>
      <family val="2"/>
      <charset val="1"/>
    </font>
    <font>
      <b/>
      <sz val="14"/>
      <color rgb="FFFFFFFF"/>
      <name val="Calibri"/>
      <family val="2"/>
      <charset val="1"/>
    </font>
    <font>
      <b/>
      <sz val="11"/>
      <color rgb="FFC62828"/>
      <name val="Calibri"/>
      <family val="2"/>
      <charset val="1"/>
    </font>
    <font>
      <i/>
      <sz val="11"/>
      <color rgb="FF555555"/>
      <name val="Calibri"/>
      <family val="2"/>
      <charset val="1"/>
    </font>
    <font>
      <sz val="11"/>
      <color rgb="FFB71C1C"/>
      <name val="Calibri"/>
      <family val="2"/>
      <charset val="1"/>
    </font>
    <font>
      <b/>
      <sz val="11"/>
      <color rgb="FFB71C1C"/>
      <name val="Calibri"/>
      <family val="2"/>
      <charset val="1"/>
    </font>
    <font>
      <b/>
      <sz val="11"/>
      <color rgb="FFE65100"/>
      <name val="Calibri"/>
      <family val="2"/>
      <charset val="1"/>
    </font>
    <font>
      <sz val="11"/>
      <color rgb="FFE65100"/>
      <name val="Calibri"/>
      <family val="2"/>
      <charset val="1"/>
    </font>
    <font>
      <sz val="11"/>
      <color rgb="FF1565C0"/>
      <name val="Calibri"/>
      <family val="2"/>
      <charset val="1"/>
    </font>
    <font>
      <b/>
      <sz val="12"/>
      <color rgb="FFFFFFFF"/>
      <name val="Calibri"/>
      <family val="2"/>
      <charset val="1"/>
    </font>
    <font>
      <i/>
      <sz val="11"/>
      <color rgb="FFB71C1C"/>
      <name val="Calibri"/>
      <family val="2"/>
      <charset val="1"/>
    </font>
    <font>
      <i/>
      <sz val="11"/>
      <color rgb="FF5D4037"/>
      <name val="Calibri"/>
      <family val="2"/>
      <charset val="1"/>
    </font>
    <font>
      <b/>
      <sz val="13"/>
      <color rgb="FFFFFFFF"/>
      <name val="Calibri"/>
      <family val="2"/>
      <charset val="1"/>
    </font>
    <font>
      <i/>
      <sz val="11"/>
      <color rgb="FF999999"/>
      <name val="Calibri"/>
      <family val="2"/>
      <charset val="1"/>
    </font>
    <font>
      <b/>
      <i/>
      <sz val="11"/>
      <color rgb="FF999999"/>
      <name val="Calibri"/>
      <family val="2"/>
      <charset val="1"/>
    </font>
    <font>
      <i/>
      <sz val="11"/>
      <color rgb="FF888888"/>
      <name val="Calibri"/>
      <family val="2"/>
      <charset val="1"/>
    </font>
    <font>
      <i/>
      <sz val="11"/>
      <color rgb="FFC62828"/>
      <name val="Calibri"/>
      <family val="2"/>
      <charset val="1"/>
    </font>
    <font>
      <i/>
      <sz val="11"/>
      <color rgb="FF1B5E20"/>
      <name val="Calibri"/>
      <family val="2"/>
      <charset val="1"/>
    </font>
    <font>
      <b/>
      <sz val="11"/>
      <color rgb="FFE65100"/>
      <name val="Calibri"/>
      <family val="2"/>
      <scheme val="minor"/>
    </font>
    <font>
      <b/>
      <sz val="12"/>
      <color theme="1"/>
      <name val="Calibri"/>
      <family val="2"/>
      <charset val="1"/>
    </font>
    <font>
      <b/>
      <i/>
      <sz val="11"/>
      <color theme="1"/>
      <name val="Calibri"/>
      <family val="2"/>
      <charset val="1"/>
    </font>
    <font>
      <b/>
      <i/>
      <sz val="11"/>
      <color rgb="FFC62828"/>
      <name val="Calibri"/>
      <family val="2"/>
      <charset val="1"/>
    </font>
    <font>
      <sz val="10"/>
      <color rgb="FFC8E6C9"/>
      <name val="Calibri"/>
      <family val="2"/>
      <charset val="1"/>
    </font>
    <font>
      <sz val="11"/>
      <color rgb="FF0F5132"/>
      <name val="Calibri"/>
      <family val="2"/>
      <charset val="1"/>
    </font>
    <font>
      <sz val="11"/>
      <color rgb="FF117A65"/>
      <name val="Calibri"/>
      <family val="2"/>
      <charset val="1"/>
    </font>
    <font>
      <sz val="11"/>
      <color rgb="FF5DADE2"/>
      <name val="Calibri"/>
      <family val="2"/>
      <charset val="1"/>
    </font>
    <font>
      <sz val="11"/>
      <color rgb="FF0A2540"/>
      <name val="Calibri"/>
      <family val="2"/>
      <charset val="1"/>
    </font>
    <font>
      <sz val="11"/>
      <color rgb="FF2E86C1"/>
      <name val="Calibri"/>
      <family val="2"/>
      <charset val="1"/>
    </font>
    <font>
      <sz val="11"/>
      <color rgb="FFF57F17"/>
      <name val="Calibri"/>
      <family val="2"/>
      <charset val="1"/>
    </font>
    <font>
      <sz val="11"/>
      <color rgb="FF00838F"/>
      <name val="Calibri"/>
      <family val="2"/>
      <charset val="1"/>
    </font>
    <font>
      <sz val="11"/>
      <color rgb="FF6C757D"/>
      <name val="Calibri"/>
      <family val="2"/>
      <charset val="1"/>
    </font>
    <font>
      <sz val="11"/>
      <color rgb="FF880E4F"/>
      <name val="Calibri"/>
      <family val="2"/>
      <charset val="1"/>
    </font>
    <font>
      <b/>
      <sz val="11"/>
      <color rgb="FFB26A00"/>
      <name val="Calibri"/>
      <family val="2"/>
      <charset val="1"/>
    </font>
    <font>
      <sz val="11"/>
      <color rgb="FFC62828"/>
      <name val="Calibri"/>
      <family val="2"/>
      <charset val="1"/>
    </font>
    <font>
      <b/>
      <sz val="13"/>
      <color rgb="FF0F5132"/>
      <name val="Calibri"/>
      <family val="2"/>
      <charset val="1"/>
    </font>
    <font>
      <b/>
      <sz val="16"/>
      <color theme="1"/>
      <name val="Calibri"/>
      <family val="2"/>
      <charset val="1"/>
    </font>
    <font>
      <b/>
      <sz val="11"/>
      <color rgb="FF0F5132"/>
      <name val="Calibri"/>
      <family val="2"/>
      <charset val="1"/>
    </font>
    <font>
      <b/>
      <sz val="15"/>
      <color rgb="FFFFFFFF"/>
      <name val="Arial"/>
      <family val="2"/>
    </font>
    <font>
      <sz val="11"/>
      <color rgb="FF7F7F7F"/>
      <name val="Calibri"/>
      <family val="2"/>
      <charset val="1"/>
    </font>
    <font>
      <i/>
      <sz val="11"/>
      <color rgb="FF7F7F7F"/>
      <name val="Calibri"/>
      <family val="2"/>
      <charset val="1"/>
    </font>
    <font>
      <b/>
      <sz val="11"/>
      <color rgb="FF000000"/>
      <name val="Calibri"/>
      <family val="2"/>
      <charset val="1"/>
    </font>
    <font>
      <b/>
      <sz val="17"/>
      <color rgb="FFFFFFFF"/>
      <name val="Arial"/>
      <family val="2"/>
    </font>
    <font>
      <b/>
      <sz val="12"/>
      <color rgb="FF1B5E20"/>
      <name val="Calibri"/>
      <family val="2"/>
      <charset val="1"/>
    </font>
    <font>
      <sz val="12"/>
      <color theme="1"/>
      <name val="Calibri"/>
      <family val="2"/>
      <charset val="1"/>
    </font>
    <font>
      <b/>
      <sz val="13"/>
      <color rgb="FF1B5E20"/>
      <name val="Calibri"/>
      <family val="2"/>
      <charset val="1"/>
    </font>
    <font>
      <b/>
      <sz val="15"/>
      <color rgb="FFFFFFFF"/>
      <name val="Arial"/>
    </font>
    <font>
      <b/>
      <i/>
      <sz val="11"/>
      <color rgb="FFFFFFFF"/>
      <name val="Calibri"/>
      <family val="2"/>
      <charset val="1"/>
    </font>
    <font>
      <sz val="9"/>
      <color indexed="81"/>
      <name val="Tahoma"/>
    </font>
    <font>
      <b/>
      <sz val="9"/>
      <color indexed="81"/>
      <name val="Tahoma"/>
    </font>
    <font>
      <i/>
      <sz val="11"/>
      <color rgb="FF222222"/>
      <name val="Calibri"/>
      <family val="2"/>
      <charset val="1"/>
    </font>
    <font>
      <u/>
      <sz val="11"/>
      <color rgb="FF0563C1"/>
      <name val="Calibri"/>
      <family val="2"/>
      <charset val="1"/>
    </font>
    <font>
      <sz val="11"/>
      <color rgb="FF0563C1"/>
      <name val="Calibri"/>
      <family val="2"/>
      <charset val="1"/>
    </font>
    <font>
      <b/>
      <sz val="11"/>
      <color rgb="FF0563C1"/>
      <name val="Calibri"/>
      <family val="2"/>
      <charset val="1"/>
    </font>
    <font>
      <i/>
      <sz val="11"/>
      <color rgb="FF0563C1"/>
      <name val="Calibri"/>
      <family val="2"/>
      <charset val="1"/>
    </font>
    <font>
      <b/>
      <sz val="13"/>
      <color rgb="FFC62828"/>
      <name val="Calibri"/>
      <family val="2"/>
      <charset val="1"/>
    </font>
    <font>
      <sz val="11"/>
      <color rgb="FF7A1F1F"/>
      <name val="Calibri"/>
      <family val="2"/>
      <charset val="1"/>
    </font>
    <font>
      <b/>
      <sz val="15"/>
      <color rgb="FFFFFFFF"/>
      <name val="Calibri"/>
    </font>
    <font>
      <i/>
      <sz val="11"/>
      <color rgb="FF595959"/>
      <name val="Calibri"/>
      <family val="2"/>
      <charset val="1"/>
    </font>
    <font>
      <b/>
      <sz val="11"/>
      <color rgb="FFC00000"/>
      <name val="Calibri"/>
      <family val="2"/>
      <charset val="1"/>
    </font>
  </fonts>
  <fills count="89">
    <fill>
      <patternFill patternType="none"/>
    </fill>
    <fill>
      <patternFill patternType="gray125"/>
    </fill>
    <fill>
      <patternFill patternType="solid">
        <fgColor rgb="FF0F5132"/>
        <bgColor rgb="FF333333"/>
      </patternFill>
    </fill>
    <fill>
      <patternFill patternType="solid">
        <fgColor rgb="FF198754"/>
        <bgColor rgb="FF008080"/>
      </patternFill>
    </fill>
    <fill>
      <patternFill patternType="solid">
        <fgColor rgb="FFFFFFFF"/>
        <bgColor rgb="FFFFFEF7"/>
      </patternFill>
    </fill>
    <fill>
      <patternFill patternType="solid">
        <fgColor rgb="FF0A2540"/>
        <bgColor rgb="FF333333"/>
      </patternFill>
    </fill>
    <fill>
      <patternFill patternType="solid">
        <fgColor rgb="FFD1E7DD"/>
        <bgColor rgb="FFCCE5FF"/>
      </patternFill>
    </fill>
    <fill>
      <patternFill patternType="solid">
        <fgColor rgb="FFFFF3CD"/>
        <bgColor rgb="FFFFE5B4"/>
      </patternFill>
    </fill>
    <fill>
      <patternFill patternType="solid">
        <fgColor rgb="FFFFFEF7"/>
        <bgColor rgb="FFFFFFFF"/>
      </patternFill>
    </fill>
    <fill>
      <patternFill patternType="solid">
        <fgColor rgb="FFDC3545"/>
        <bgColor rgb="FF993366"/>
      </patternFill>
    </fill>
    <fill>
      <patternFill patternType="solid">
        <fgColor rgb="FFFFC107"/>
        <bgColor rgb="FFFF9900"/>
      </patternFill>
    </fill>
    <fill>
      <patternFill patternType="solid">
        <fgColor rgb="FF28A745"/>
        <bgColor rgb="FF198754"/>
      </patternFill>
    </fill>
    <fill>
      <patternFill patternType="solid">
        <fgColor rgb="FFF1F3F5"/>
        <bgColor rgb="FFFFFEF7"/>
      </patternFill>
    </fill>
    <fill>
      <patternFill patternType="solid">
        <fgColor rgb="FFFFE5B4"/>
        <bgColor rgb="FFFFF3CD"/>
      </patternFill>
    </fill>
    <fill>
      <patternFill patternType="solid">
        <fgColor rgb="FFFFD580"/>
        <bgColor rgb="FFFFE5B4"/>
      </patternFill>
    </fill>
    <fill>
      <patternFill patternType="solid">
        <fgColor rgb="FFCCE5FF"/>
        <bgColor rgb="FFD1E7DD"/>
      </patternFill>
    </fill>
    <fill>
      <patternFill patternType="solid">
        <fgColor rgb="FFF8D7DA"/>
        <bgColor rgb="FFFFE5B4"/>
      </patternFill>
    </fill>
    <fill>
      <patternFill patternType="solid">
        <fgColor rgb="FFF5B7B1"/>
        <bgColor indexed="64"/>
      </patternFill>
    </fill>
    <fill>
      <patternFill patternType="solid">
        <fgColor rgb="FFF9E79F"/>
        <bgColor indexed="64"/>
      </patternFill>
    </fill>
    <fill>
      <patternFill patternType="solid">
        <fgColor rgb="FFAED6F1"/>
        <bgColor indexed="64"/>
      </patternFill>
    </fill>
    <fill>
      <patternFill patternType="solid">
        <fgColor rgb="FFA9DFBF"/>
        <bgColor indexed="64"/>
      </patternFill>
    </fill>
    <fill>
      <patternFill patternType="solid">
        <fgColor rgb="FFEBF5FB"/>
        <bgColor indexed="64"/>
      </patternFill>
    </fill>
    <fill>
      <patternFill patternType="solid">
        <fgColor rgb="FFD5F5E3"/>
        <bgColor indexed="64"/>
      </patternFill>
    </fill>
    <fill>
      <patternFill patternType="solid">
        <fgColor rgb="FFFEF9E7"/>
        <bgColor indexed="64"/>
      </patternFill>
    </fill>
    <fill>
      <patternFill patternType="solid">
        <fgColor rgb="FF117A65"/>
        <bgColor indexed="64"/>
      </patternFill>
    </fill>
    <fill>
      <patternFill patternType="solid">
        <fgColor rgb="FF0B5345"/>
        <bgColor indexed="64"/>
      </patternFill>
    </fill>
    <fill>
      <patternFill patternType="solid">
        <fgColor rgb="FFEAFAF1"/>
        <bgColor indexed="64"/>
      </patternFill>
    </fill>
    <fill>
      <patternFill patternType="solid">
        <fgColor rgb="FFF4F6F7"/>
        <bgColor indexed="64"/>
      </patternFill>
    </fill>
    <fill>
      <patternFill patternType="solid">
        <fgColor rgb="FF5D6D7E"/>
        <bgColor indexed="64"/>
      </patternFill>
    </fill>
    <fill>
      <patternFill patternType="solid">
        <fgColor rgb="FFF4D03F"/>
        <bgColor indexed="64"/>
      </patternFill>
    </fill>
    <fill>
      <patternFill patternType="solid">
        <fgColor rgb="FF2ECC71"/>
        <bgColor indexed="64"/>
      </patternFill>
    </fill>
    <fill>
      <patternFill patternType="solid">
        <fgColor rgb="FF27AE60"/>
        <bgColor indexed="64"/>
      </patternFill>
    </fill>
    <fill>
      <patternFill patternType="solid">
        <fgColor rgb="FFE74C3C"/>
        <bgColor indexed="64"/>
      </patternFill>
    </fill>
    <fill>
      <patternFill patternType="solid">
        <fgColor rgb="FF0A2540"/>
        <bgColor indexed="64"/>
      </patternFill>
    </fill>
    <fill>
      <patternFill patternType="solid">
        <fgColor rgb="FFFFFF00"/>
        <bgColor indexed="64"/>
      </patternFill>
    </fill>
    <fill>
      <patternFill patternType="solid">
        <fgColor rgb="FFF8F9FA"/>
        <bgColor indexed="64"/>
      </patternFill>
    </fill>
    <fill>
      <patternFill patternType="solid">
        <fgColor rgb="FFD6EAF8"/>
        <bgColor indexed="64"/>
      </patternFill>
    </fill>
    <fill>
      <patternFill patternType="solid">
        <fgColor rgb="FFFDEBD0"/>
        <bgColor indexed="64"/>
      </patternFill>
    </fill>
    <fill>
      <patternFill patternType="solid">
        <fgColor rgb="FFE8DAEF"/>
        <bgColor indexed="64"/>
      </patternFill>
    </fill>
    <fill>
      <patternFill patternType="solid">
        <fgColor rgb="FFFFFF00"/>
        <bgColor rgb="FFFFFF00"/>
      </patternFill>
    </fill>
    <fill>
      <patternFill patternType="solid">
        <fgColor rgb="FF1F3864"/>
        <bgColor rgb="FF333333"/>
      </patternFill>
    </fill>
    <fill>
      <patternFill patternType="solid">
        <fgColor rgb="FFD9E2F2"/>
        <bgColor rgb="FFFCE4D6"/>
      </patternFill>
    </fill>
    <fill>
      <patternFill patternType="solid">
        <fgColor rgb="FFFCE4D6"/>
        <bgColor rgb="FFD9E2F2"/>
      </patternFill>
    </fill>
    <fill>
      <patternFill patternType="solid">
        <fgColor rgb="FFFFF8E1"/>
        <bgColor indexed="64"/>
      </patternFill>
    </fill>
    <fill>
      <patternFill patternType="solid">
        <fgColor rgb="FFFFF3E0"/>
        <bgColor indexed="64"/>
      </patternFill>
    </fill>
    <fill>
      <patternFill patternType="solid">
        <fgColor rgb="FFE8F5E9"/>
        <bgColor indexed="64"/>
      </patternFill>
    </fill>
    <fill>
      <patternFill patternType="solid">
        <fgColor rgb="FFC8E6C9"/>
        <bgColor indexed="64"/>
      </patternFill>
    </fill>
    <fill>
      <patternFill patternType="solid">
        <fgColor rgb="FFFFF9C4"/>
        <bgColor indexed="64"/>
      </patternFill>
    </fill>
    <fill>
      <patternFill patternType="solid">
        <fgColor rgb="FFBBDEFB"/>
        <bgColor indexed="64"/>
      </patternFill>
    </fill>
    <fill>
      <patternFill patternType="solid">
        <fgColor rgb="FFE3F2FD"/>
        <bgColor indexed="64"/>
      </patternFill>
    </fill>
    <fill>
      <patternFill patternType="solid">
        <fgColor rgb="FF4A148C"/>
        <bgColor indexed="64"/>
      </patternFill>
    </fill>
    <fill>
      <patternFill patternType="solid">
        <fgColor rgb="FFB71C1C"/>
        <bgColor indexed="64"/>
      </patternFill>
    </fill>
    <fill>
      <patternFill patternType="solid">
        <fgColor rgb="FFFFCDD2"/>
        <bgColor indexed="64"/>
      </patternFill>
    </fill>
    <fill>
      <patternFill patternType="solid">
        <fgColor rgb="FF0D47A1"/>
        <bgColor indexed="64"/>
      </patternFill>
    </fill>
    <fill>
      <patternFill patternType="solid">
        <fgColor rgb="FF1B5E20"/>
        <bgColor indexed="64"/>
      </patternFill>
    </fill>
    <fill>
      <patternFill patternType="solid">
        <fgColor rgb="FFA5D6A7"/>
        <bgColor indexed="64"/>
      </patternFill>
    </fill>
    <fill>
      <patternFill patternType="solid">
        <fgColor rgb="FFCE93D8"/>
        <bgColor indexed="64"/>
      </patternFill>
    </fill>
    <fill>
      <patternFill patternType="solid">
        <fgColor rgb="FFEDE7F6"/>
        <bgColor indexed="64"/>
      </patternFill>
    </fill>
    <fill>
      <patternFill patternType="solid">
        <fgColor rgb="FFBF360C"/>
        <bgColor indexed="64"/>
      </patternFill>
    </fill>
    <fill>
      <patternFill patternType="solid">
        <fgColor rgb="FFFFCCBC"/>
        <bgColor indexed="64"/>
      </patternFill>
    </fill>
    <fill>
      <patternFill patternType="solid">
        <fgColor rgb="FFFFAB91"/>
        <bgColor indexed="64"/>
      </patternFill>
    </fill>
    <fill>
      <patternFill patternType="solid">
        <fgColor rgb="FF1A237E"/>
        <bgColor indexed="64"/>
      </patternFill>
    </fill>
    <fill>
      <patternFill patternType="solid">
        <fgColor rgb="FFC5CAE9"/>
        <bgColor indexed="64"/>
      </patternFill>
    </fill>
    <fill>
      <patternFill patternType="solid">
        <fgColor rgb="FFE8EAF6"/>
        <bgColor indexed="64"/>
      </patternFill>
    </fill>
    <fill>
      <patternFill patternType="solid">
        <fgColor rgb="FFFF8F00"/>
        <bgColor indexed="64"/>
      </patternFill>
    </fill>
    <fill>
      <patternFill patternType="solid">
        <fgColor rgb="FFF3E5F5"/>
        <bgColor indexed="64"/>
      </patternFill>
    </fill>
    <fill>
      <patternFill patternType="solid">
        <fgColor rgb="FF0277BD"/>
        <bgColor indexed="64"/>
      </patternFill>
    </fill>
    <fill>
      <patternFill patternType="solid">
        <fgColor rgb="FFB0BEC5"/>
        <bgColor indexed="64"/>
      </patternFill>
    </fill>
    <fill>
      <patternFill patternType="solid">
        <fgColor rgb="FFCFD8DC"/>
        <bgColor indexed="64"/>
      </patternFill>
    </fill>
    <fill>
      <patternFill patternType="solid">
        <fgColor rgb="FFFCE4EC"/>
        <bgColor indexed="64"/>
      </patternFill>
    </fill>
    <fill>
      <patternFill patternType="solid">
        <fgColor rgb="FFFFEBEE"/>
        <bgColor indexed="64"/>
      </patternFill>
    </fill>
    <fill>
      <patternFill patternType="solid">
        <fgColor rgb="FFE1F5FE"/>
        <bgColor indexed="64"/>
      </patternFill>
    </fill>
    <fill>
      <patternFill patternType="solid">
        <fgColor rgb="FFFFF59D"/>
        <bgColor indexed="64"/>
      </patternFill>
    </fill>
    <fill>
      <patternFill patternType="solid">
        <fgColor rgb="FFEEEEEE"/>
        <bgColor indexed="64"/>
      </patternFill>
    </fill>
    <fill>
      <patternFill patternType="solid">
        <fgColor rgb="FFFF6F00"/>
        <bgColor indexed="64"/>
      </patternFill>
    </fill>
    <fill>
      <patternFill patternType="solid">
        <fgColor rgb="FFE0E0E0"/>
        <bgColor indexed="64"/>
      </patternFill>
    </fill>
    <fill>
      <patternFill patternType="solid">
        <fgColor rgb="FF0F5132"/>
        <bgColor indexed="64"/>
      </patternFill>
    </fill>
    <fill>
      <patternFill patternType="solid">
        <fgColor rgb="FF263238"/>
        <bgColor indexed="64"/>
      </patternFill>
    </fill>
    <fill>
      <patternFill patternType="solid">
        <fgColor rgb="FFE0F2F1"/>
        <bgColor indexed="64"/>
      </patternFill>
    </fill>
    <fill>
      <patternFill patternType="solid">
        <fgColor rgb="FFE0F7FA"/>
        <bgColor indexed="64"/>
      </patternFill>
    </fill>
    <fill>
      <patternFill patternType="solid">
        <fgColor rgb="FFECEFF1"/>
        <bgColor indexed="64"/>
      </patternFill>
    </fill>
    <fill>
      <patternFill patternType="solid">
        <fgColor rgb="FFD1E7DD"/>
        <bgColor indexed="64"/>
      </patternFill>
    </fill>
    <fill>
      <patternFill patternType="solid">
        <fgColor rgb="FFF8D7DA"/>
        <bgColor indexed="64"/>
      </patternFill>
    </fill>
    <fill>
      <patternFill patternType="solid">
        <fgColor rgb="FFFFF3CD"/>
        <bgColor indexed="64"/>
      </patternFill>
    </fill>
    <fill>
      <patternFill patternType="solid">
        <fgColor rgb="FFC62828"/>
        <bgColor indexed="64"/>
      </patternFill>
    </fill>
    <fill>
      <patternFill patternType="solid">
        <fgColor rgb="FFFDE0DC"/>
        <bgColor indexed="64"/>
      </patternFill>
    </fill>
    <fill>
      <patternFill patternType="solid">
        <fgColor rgb="FFE0F2E9"/>
        <bgColor indexed="64"/>
      </patternFill>
    </fill>
    <fill>
      <patternFill patternType="solid">
        <fgColor rgb="FF1F3864"/>
        <bgColor indexed="64"/>
      </patternFill>
    </fill>
    <fill>
      <patternFill patternType="solid">
        <fgColor rgb="FFE2EFDA"/>
        <bgColor indexed="64"/>
      </patternFill>
    </fill>
  </fills>
  <borders count="47">
    <border>
      <left/>
      <right/>
      <top/>
      <bottom/>
      <diagonal/>
    </border>
    <border>
      <left style="thin">
        <color rgb="FFCCCCCC"/>
      </left>
      <right style="thin">
        <color rgb="FFCCCCCC"/>
      </right>
      <top style="thin">
        <color rgb="FFCCCCCC"/>
      </top>
      <bottom style="thin">
        <color rgb="FFCCCCCC"/>
      </bottom>
      <diagonal/>
    </border>
    <border>
      <left style="thin">
        <color rgb="FFBDC3C7"/>
      </left>
      <right style="thin">
        <color auto="1"/>
      </right>
      <top style="thin">
        <color rgb="FFBDC3C7"/>
      </top>
      <bottom style="thin">
        <color auto="1"/>
      </bottom>
      <diagonal/>
    </border>
    <border>
      <left style="thin">
        <color auto="1"/>
      </left>
      <right style="thin">
        <color rgb="FFBDC3C7"/>
      </right>
      <top style="thin">
        <color rgb="FFBDC3C7"/>
      </top>
      <bottom style="thin">
        <color auto="1"/>
      </bottom>
      <diagonal/>
    </border>
    <border>
      <left style="thin">
        <color rgb="FFBDC3C7"/>
      </left>
      <right style="thin">
        <color auto="1"/>
      </right>
      <top style="thin">
        <color rgb="FFBDC3C7"/>
      </top>
      <bottom style="thin">
        <color rgb="FFBDC3C7"/>
      </bottom>
      <diagonal/>
    </border>
    <border>
      <left style="thin">
        <color auto="1"/>
      </left>
      <right style="thin">
        <color rgb="FFBDC3C7"/>
      </right>
      <top style="thin">
        <color rgb="FFBDC3C7"/>
      </top>
      <bottom style="thin">
        <color rgb="FFBDC3C7"/>
      </bottom>
      <diagonal/>
    </border>
    <border>
      <left style="thin">
        <color rgb="FFBDC3C7"/>
      </left>
      <right style="thin">
        <color auto="1"/>
      </right>
      <top style="thin">
        <color auto="1"/>
      </top>
      <bottom style="thin">
        <color rgb="FFBDC3C7"/>
      </bottom>
      <diagonal/>
    </border>
    <border>
      <left style="thin">
        <color auto="1"/>
      </left>
      <right style="thin">
        <color rgb="FFBDC3C7"/>
      </right>
      <top style="thin">
        <color auto="1"/>
      </top>
      <bottom style="thin">
        <color rgb="FFBDC3C7"/>
      </bottom>
      <diagonal/>
    </border>
    <border>
      <left style="thin">
        <color auto="1"/>
      </left>
      <right style="thin">
        <color auto="1"/>
      </right>
      <top style="thin">
        <color auto="1"/>
      </top>
      <bottom style="thin">
        <color auto="1"/>
      </bottom>
      <diagonal/>
    </border>
    <border>
      <left style="thin">
        <color rgb="FFBDC3C7"/>
      </left>
      <right style="thin">
        <color rgb="FFBDC3C7"/>
      </right>
      <top style="thin">
        <color rgb="FFBDC3C7"/>
      </top>
      <bottom style="thin">
        <color auto="1"/>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auto="1"/>
      </top>
      <bottom style="thin">
        <color rgb="FFBDC3C7"/>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top style="thin">
        <color auto="1"/>
      </top>
      <bottom style="thin">
        <color auto="1"/>
      </bottom>
      <diagonal/>
    </border>
    <border>
      <left/>
      <right/>
      <top style="thin">
        <color auto="1"/>
      </top>
      <bottom/>
      <diagonal/>
    </border>
    <border>
      <left/>
      <right/>
      <top/>
      <bottom style="thin">
        <color rgb="FFCCCCCC"/>
      </bottom>
      <diagonal/>
    </border>
    <border>
      <left/>
      <right/>
      <top style="thin">
        <color rgb="FFCCCCCC"/>
      </top>
      <bottom/>
      <diagonal/>
    </border>
    <border>
      <left style="thin">
        <color rgb="FFCCCCCC"/>
      </left>
      <right style="thin">
        <color rgb="FFCCCCCC"/>
      </right>
      <top/>
      <bottom style="thin">
        <color rgb="FFCCCCCC"/>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style="thin">
        <color rgb="FFCCCCCC"/>
      </left>
      <right style="thin">
        <color rgb="FFCCCCCC"/>
      </right>
      <top/>
      <bottom/>
      <diagonal/>
    </border>
    <border>
      <left/>
      <right style="thin">
        <color rgb="FFDEE2E6"/>
      </right>
      <top/>
      <bottom style="thin">
        <color rgb="FFDEE2E6"/>
      </bottom>
      <diagonal/>
    </border>
    <border>
      <left style="thin">
        <color rgb="FFDEE2E6"/>
      </left>
      <right style="thin">
        <color rgb="FFDEE2E6"/>
      </right>
      <top/>
      <bottom style="thin">
        <color rgb="FFDEE2E6"/>
      </bottom>
      <diagonal/>
    </border>
    <border>
      <left style="thin">
        <color rgb="FFDEE2E6"/>
      </left>
      <right/>
      <top/>
      <bottom style="thin">
        <color rgb="FFDEE2E6"/>
      </bottom>
      <diagonal/>
    </border>
    <border>
      <left/>
      <right style="thin">
        <color rgb="FFDEE2E6"/>
      </right>
      <top style="thin">
        <color rgb="FFDEE2E6"/>
      </top>
      <bottom style="thin">
        <color rgb="FFDEE2E6"/>
      </bottom>
      <diagonal/>
    </border>
    <border>
      <left style="thin">
        <color rgb="FFDEE2E6"/>
      </left>
      <right style="thin">
        <color rgb="FFDEE2E6"/>
      </right>
      <top style="thin">
        <color rgb="FFDEE2E6"/>
      </top>
      <bottom style="thin">
        <color rgb="FFDEE2E6"/>
      </bottom>
      <diagonal/>
    </border>
    <border>
      <left style="thin">
        <color rgb="FFDEE2E6"/>
      </left>
      <right/>
      <top style="thin">
        <color rgb="FFDEE2E6"/>
      </top>
      <bottom style="thin">
        <color rgb="FFDEE2E6"/>
      </bottom>
      <diagonal/>
    </border>
    <border>
      <left/>
      <right style="thin">
        <color rgb="FFDEE2E6"/>
      </right>
      <top style="thin">
        <color rgb="FFDEE2E6"/>
      </top>
      <bottom/>
      <diagonal/>
    </border>
    <border>
      <left style="thin">
        <color rgb="FFDEE2E6"/>
      </left>
      <right style="thin">
        <color rgb="FFDEE2E6"/>
      </right>
      <top style="thin">
        <color rgb="FFDEE2E6"/>
      </top>
      <bottom/>
      <diagonal/>
    </border>
    <border>
      <left style="thin">
        <color rgb="FFDEE2E6"/>
      </left>
      <right/>
      <top style="thin">
        <color rgb="FFDEE2E6"/>
      </top>
      <bottom/>
      <diagonal/>
    </border>
    <border>
      <left/>
      <right style="thin">
        <color rgb="FFDEE2E6"/>
      </right>
      <top/>
      <bottom style="medium">
        <color rgb="FFFFFFFF"/>
      </bottom>
      <diagonal/>
    </border>
    <border>
      <left style="thin">
        <color rgb="FFDEE2E6"/>
      </left>
      <right style="thin">
        <color rgb="FFDEE2E6"/>
      </right>
      <top/>
      <bottom style="medium">
        <color rgb="FFFFFFFF"/>
      </bottom>
      <diagonal/>
    </border>
    <border>
      <left style="thin">
        <color rgb="FFDEE2E6"/>
      </left>
      <right/>
      <top/>
      <bottom style="medium">
        <color rgb="FFFFFFFF"/>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s>
  <cellStyleXfs count="3">
    <xf numFmtId="0" fontId="0" fillId="0" borderId="0"/>
    <xf numFmtId="0" fontId="1" fillId="0" borderId="0"/>
    <xf numFmtId="0" fontId="44" fillId="0" borderId="0" applyNumberFormat="0" applyFill="0" applyBorder="0" applyAlignment="0" applyProtection="0"/>
  </cellStyleXfs>
  <cellXfs count="669">
    <xf numFmtId="0" fontId="0" fillId="0" borderId="0" xfId="0"/>
    <xf numFmtId="0" fontId="11" fillId="0" borderId="0" xfId="0" applyFont="1"/>
    <xf numFmtId="0" fontId="20" fillId="0" borderId="0" xfId="0" applyFont="1"/>
    <xf numFmtId="0" fontId="4" fillId="0" borderId="0" xfId="0" applyFont="1"/>
    <xf numFmtId="0" fontId="5" fillId="0" borderId="0" xfId="0" applyFont="1"/>
    <xf numFmtId="0" fontId="6" fillId="0" borderId="0" xfId="0" applyFont="1"/>
    <xf numFmtId="0" fontId="8" fillId="4" borderId="1" xfId="0" applyFont="1" applyFill="1" applyBorder="1" applyAlignment="1">
      <alignment horizontal="center" vertical="center"/>
    </xf>
    <xf numFmtId="164" fontId="9" fillId="4" borderId="1" xfId="0" applyNumberFormat="1" applyFont="1" applyFill="1" applyBorder="1" applyAlignment="1">
      <alignment horizontal="center" vertical="center"/>
    </xf>
    <xf numFmtId="165" fontId="9" fillId="4" borderId="1" xfId="0" applyNumberFormat="1" applyFont="1" applyFill="1" applyBorder="1" applyAlignment="1">
      <alignment horizontal="center" vertical="center"/>
    </xf>
    <xf numFmtId="49" fontId="9" fillId="4" borderId="1" xfId="0" applyNumberFormat="1" applyFont="1" applyFill="1" applyBorder="1" applyAlignment="1">
      <alignment horizontal="center" vertical="center"/>
    </xf>
    <xf numFmtId="166" fontId="9" fillId="4" borderId="1" xfId="0" applyNumberFormat="1" applyFont="1" applyFill="1" applyBorder="1" applyAlignment="1">
      <alignment horizontal="center" vertical="center"/>
    </xf>
    <xf numFmtId="0" fontId="10" fillId="5" borderId="0" xfId="0" applyFont="1" applyFill="1" applyAlignment="1">
      <alignment horizontal="center" vertical="center"/>
    </xf>
    <xf numFmtId="164" fontId="12" fillId="0" borderId="0" xfId="0" applyNumberFormat="1" applyFont="1"/>
    <xf numFmtId="165" fontId="12" fillId="0" borderId="0" xfId="0" applyNumberFormat="1" applyFont="1"/>
    <xf numFmtId="167" fontId="12" fillId="0" borderId="0" xfId="0" applyNumberFormat="1" applyFont="1"/>
    <xf numFmtId="0" fontId="10" fillId="5" borderId="1" xfId="0" applyFont="1" applyFill="1" applyBorder="1" applyAlignment="1">
      <alignment horizontal="center" vertical="center"/>
    </xf>
    <xf numFmtId="164" fontId="0" fillId="0" borderId="0" xfId="0" applyNumberFormat="1"/>
    <xf numFmtId="165" fontId="0" fillId="0" borderId="0" xfId="0" applyNumberFormat="1"/>
    <xf numFmtId="0" fontId="14" fillId="7" borderId="0" xfId="0" applyFont="1" applyFill="1" applyAlignment="1">
      <alignment horizontal="center" vertical="center"/>
    </xf>
    <xf numFmtId="0" fontId="15" fillId="0" borderId="0" xfId="0" applyFont="1"/>
    <xf numFmtId="0" fontId="16" fillId="0" borderId="0" xfId="0" applyFont="1"/>
    <xf numFmtId="0" fontId="17" fillId="0" borderId="0" xfId="0" applyFont="1" applyAlignment="1">
      <alignment horizontal="center" vertical="center"/>
    </xf>
    <xf numFmtId="0" fontId="17" fillId="0" borderId="0" xfId="0" applyFont="1"/>
    <xf numFmtId="165" fontId="18" fillId="8" borderId="0" xfId="0" applyNumberFormat="1" applyFont="1" applyFill="1"/>
    <xf numFmtId="165" fontId="17" fillId="6" borderId="0" xfId="0" applyNumberFormat="1" applyFont="1" applyFill="1"/>
    <xf numFmtId="167" fontId="18" fillId="8" borderId="0" xfId="0" applyNumberFormat="1" applyFont="1" applyFill="1"/>
    <xf numFmtId="167" fontId="17" fillId="6" borderId="0" xfId="0" applyNumberFormat="1" applyFont="1" applyFill="1"/>
    <xf numFmtId="0" fontId="19" fillId="0" borderId="0" xfId="0" applyFont="1"/>
    <xf numFmtId="0" fontId="10" fillId="9" borderId="0" xfId="0" applyFont="1" applyFill="1" applyAlignment="1">
      <alignment horizontal="center" vertical="center"/>
    </xf>
    <xf numFmtId="0" fontId="11" fillId="10" borderId="0" xfId="0" applyFont="1" applyFill="1" applyAlignment="1">
      <alignment horizontal="center" vertical="center"/>
    </xf>
    <xf numFmtId="0" fontId="11" fillId="6" borderId="0" xfId="0" applyFont="1" applyFill="1" applyAlignment="1">
      <alignment horizontal="center" vertical="center"/>
    </xf>
    <xf numFmtId="167" fontId="0" fillId="0" borderId="0" xfId="0" applyNumberFormat="1"/>
    <xf numFmtId="0" fontId="11" fillId="6" borderId="0" xfId="0" applyFont="1" applyFill="1"/>
    <xf numFmtId="167" fontId="11" fillId="6" borderId="0" xfId="0" applyNumberFormat="1" applyFont="1" applyFill="1"/>
    <xf numFmtId="0" fontId="0" fillId="0" borderId="0" xfId="0" applyAlignment="1">
      <alignment horizontal="center" vertical="center"/>
    </xf>
    <xf numFmtId="168" fontId="0" fillId="0" borderId="0" xfId="0" applyNumberFormat="1"/>
    <xf numFmtId="1" fontId="0" fillId="0" borderId="0" xfId="0" applyNumberFormat="1"/>
    <xf numFmtId="169" fontId="18" fillId="8" borderId="0" xfId="0" applyNumberFormat="1" applyFont="1" applyFill="1"/>
    <xf numFmtId="0" fontId="18" fillId="8" borderId="0" xfId="0" applyFont="1" applyFill="1"/>
    <xf numFmtId="164" fontId="17" fillId="0" borderId="0" xfId="0" applyNumberFormat="1" applyFont="1"/>
    <xf numFmtId="164" fontId="4" fillId="6" borderId="0" xfId="0" applyNumberFormat="1" applyFont="1" applyFill="1"/>
    <xf numFmtId="0" fontId="19" fillId="0" borderId="0" xfId="0" applyFont="1" applyAlignment="1">
      <alignment horizontal="left" vertical="center" wrapText="1"/>
    </xf>
    <xf numFmtId="0" fontId="11" fillId="0" borderId="0" xfId="0" applyFont="1" applyAlignment="1">
      <alignment horizontal="left" vertical="center" wrapText="1"/>
    </xf>
    <xf numFmtId="0" fontId="20" fillId="0" borderId="0" xfId="0" applyFont="1" applyAlignment="1">
      <alignment horizontal="left" vertical="center" wrapText="1"/>
    </xf>
    <xf numFmtId="0" fontId="10" fillId="10" borderId="0" xfId="0" applyFont="1" applyFill="1" applyAlignment="1">
      <alignment horizontal="center" vertical="center"/>
    </xf>
    <xf numFmtId="0" fontId="10" fillId="11" borderId="0" xfId="0" applyFont="1" applyFill="1" applyAlignment="1">
      <alignment horizontal="center" vertical="center"/>
    </xf>
    <xf numFmtId="0" fontId="21" fillId="0" borderId="0" xfId="0" applyFont="1"/>
    <xf numFmtId="170" fontId="0" fillId="0" borderId="0" xfId="0" applyNumberFormat="1" applyAlignment="1">
      <alignment horizontal="center" vertical="center"/>
    </xf>
    <xf numFmtId="167" fontId="17" fillId="0" borderId="0" xfId="0" applyNumberFormat="1" applyFont="1"/>
    <xf numFmtId="165" fontId="17" fillId="0" borderId="0" xfId="0" applyNumberFormat="1" applyFont="1"/>
    <xf numFmtId="169" fontId="17" fillId="0" borderId="0" xfId="0" applyNumberFormat="1" applyFont="1"/>
    <xf numFmtId="164" fontId="21" fillId="0" borderId="0" xfId="0" applyNumberFormat="1" applyFont="1"/>
    <xf numFmtId="169" fontId="12" fillId="0" borderId="0" xfId="0" applyNumberFormat="1" applyFont="1"/>
    <xf numFmtId="164" fontId="18" fillId="8" borderId="0" xfId="0" applyNumberFormat="1" applyFont="1" applyFill="1"/>
    <xf numFmtId="0" fontId="7" fillId="2" borderId="0" xfId="0" applyFont="1" applyFill="1" applyAlignment="1">
      <alignment horizontal="left" vertical="center"/>
    </xf>
    <xf numFmtId="164" fontId="7" fillId="2" borderId="0" xfId="0" applyNumberFormat="1" applyFont="1" applyFill="1"/>
    <xf numFmtId="169" fontId="0" fillId="0" borderId="0" xfId="0" applyNumberFormat="1"/>
    <xf numFmtId="165" fontId="6" fillId="0" borderId="0" xfId="0" applyNumberFormat="1" applyFont="1"/>
    <xf numFmtId="169" fontId="21" fillId="0" borderId="0" xfId="0" applyNumberFormat="1" applyFont="1"/>
    <xf numFmtId="164" fontId="11" fillId="0" borderId="0" xfId="0" applyNumberFormat="1" applyFont="1"/>
    <xf numFmtId="168" fontId="17" fillId="0" borderId="0" xfId="0" applyNumberFormat="1" applyFont="1"/>
    <xf numFmtId="164" fontId="21" fillId="6" borderId="0" xfId="0" applyNumberFormat="1" applyFont="1" applyFill="1"/>
    <xf numFmtId="169" fontId="21" fillId="6" borderId="0" xfId="0" applyNumberFormat="1" applyFont="1" applyFill="1"/>
    <xf numFmtId="168" fontId="21" fillId="6" borderId="0" xfId="0" applyNumberFormat="1" applyFont="1" applyFill="1"/>
    <xf numFmtId="165" fontId="21" fillId="6" borderId="0" xfId="0" applyNumberFormat="1" applyFont="1" applyFill="1"/>
    <xf numFmtId="169" fontId="22" fillId="6" borderId="0" xfId="0" applyNumberFormat="1" applyFont="1" applyFill="1"/>
    <xf numFmtId="165" fontId="23" fillId="6" borderId="0" xfId="0" applyNumberFormat="1" applyFont="1" applyFill="1"/>
    <xf numFmtId="0" fontId="24" fillId="0" borderId="0" xfId="0" applyFont="1"/>
    <xf numFmtId="168" fontId="18" fillId="8" borderId="0" xfId="0" applyNumberFormat="1" applyFont="1" applyFill="1"/>
    <xf numFmtId="171" fontId="18" fillId="8" borderId="0" xfId="0" applyNumberFormat="1" applyFont="1" applyFill="1"/>
    <xf numFmtId="172" fontId="18" fillId="8" borderId="0" xfId="0" applyNumberFormat="1" applyFont="1" applyFill="1"/>
    <xf numFmtId="167" fontId="21" fillId="0" borderId="0" xfId="0" applyNumberFormat="1" applyFont="1"/>
    <xf numFmtId="169" fontId="10" fillId="5" borderId="0" xfId="0" applyNumberFormat="1" applyFont="1" applyFill="1" applyAlignment="1">
      <alignment horizontal="center" vertical="center"/>
    </xf>
    <xf numFmtId="164" fontId="17" fillId="6" borderId="0" xfId="0" applyNumberFormat="1" applyFont="1" applyFill="1"/>
    <xf numFmtId="0" fontId="25" fillId="0" borderId="0" xfId="0" applyFont="1"/>
    <xf numFmtId="0" fontId="22" fillId="0" borderId="0" xfId="0" applyFont="1"/>
    <xf numFmtId="167" fontId="22" fillId="6" borderId="0" xfId="0" applyNumberFormat="1" applyFont="1" applyFill="1"/>
    <xf numFmtId="168" fontId="12" fillId="0" borderId="0" xfId="0" applyNumberFormat="1" applyFont="1"/>
    <xf numFmtId="164" fontId="22" fillId="6" borderId="0" xfId="0" applyNumberFormat="1" applyFont="1" applyFill="1"/>
    <xf numFmtId="165" fontId="11" fillId="0" borderId="0" xfId="0" applyNumberFormat="1" applyFont="1"/>
    <xf numFmtId="1" fontId="17" fillId="0" borderId="0" xfId="0" applyNumberFormat="1" applyFont="1"/>
    <xf numFmtId="164" fontId="11" fillId="6" borderId="0" xfId="0" applyNumberFormat="1" applyFont="1" applyFill="1"/>
    <xf numFmtId="169" fontId="26" fillId="0" borderId="0" xfId="0" applyNumberFormat="1" applyFont="1"/>
    <xf numFmtId="164" fontId="23" fillId="6" borderId="0" xfId="0" applyNumberFormat="1" applyFont="1" applyFill="1"/>
    <xf numFmtId="0" fontId="18" fillId="8" borderId="0" xfId="0" applyFont="1" applyFill="1" applyAlignment="1">
      <alignment horizontal="center" vertical="center"/>
    </xf>
    <xf numFmtId="0" fontId="27" fillId="0" borderId="0" xfId="0" applyFont="1"/>
    <xf numFmtId="164" fontId="0" fillId="6" borderId="0" xfId="0" applyNumberFormat="1" applyFill="1"/>
    <xf numFmtId="165" fontId="0" fillId="6" borderId="0" xfId="0" applyNumberFormat="1" applyFill="1"/>
    <xf numFmtId="172" fontId="21" fillId="6" borderId="0" xfId="0" applyNumberFormat="1" applyFont="1" applyFill="1"/>
    <xf numFmtId="0" fontId="21" fillId="12" borderId="0" xfId="0" applyFont="1" applyFill="1"/>
    <xf numFmtId="0" fontId="28" fillId="0" borderId="0" xfId="0" applyFont="1" applyAlignment="1">
      <alignment horizontal="center" vertical="center"/>
    </xf>
    <xf numFmtId="0" fontId="21" fillId="6" borderId="0" xfId="0" applyFont="1" applyFill="1"/>
    <xf numFmtId="0" fontId="21" fillId="13" borderId="0" xfId="0" applyFont="1" applyFill="1"/>
    <xf numFmtId="0" fontId="21" fillId="14" borderId="0" xfId="0" applyFont="1" applyFill="1"/>
    <xf numFmtId="0" fontId="21" fillId="15" borderId="0" xfId="0" applyFont="1" applyFill="1"/>
    <xf numFmtId="0" fontId="21" fillId="16" borderId="0" xfId="0" applyFont="1" applyFill="1"/>
    <xf numFmtId="0" fontId="29" fillId="0" borderId="0" xfId="0" applyFont="1"/>
    <xf numFmtId="0" fontId="1" fillId="0" borderId="0" xfId="1"/>
    <xf numFmtId="0" fontId="1" fillId="17" borderId="0" xfId="1" applyFill="1"/>
    <xf numFmtId="0" fontId="1" fillId="18" borderId="0" xfId="1" applyFill="1"/>
    <xf numFmtId="0" fontId="1" fillId="19" borderId="0" xfId="1" applyFill="1"/>
    <xf numFmtId="0" fontId="1" fillId="20" borderId="0" xfId="1" applyFill="1"/>
    <xf numFmtId="0" fontId="30" fillId="21" borderId="0" xfId="1" applyFont="1" applyFill="1"/>
    <xf numFmtId="0" fontId="30" fillId="22" borderId="0" xfId="1" applyFont="1" applyFill="1"/>
    <xf numFmtId="0" fontId="30" fillId="23" borderId="0" xfId="1" applyFont="1" applyFill="1"/>
    <xf numFmtId="0" fontId="31" fillId="22" borderId="0" xfId="1" applyFont="1" applyFill="1"/>
    <xf numFmtId="0" fontId="32" fillId="24" borderId="0" xfId="1" applyFont="1" applyFill="1"/>
    <xf numFmtId="0" fontId="33" fillId="25" borderId="0" xfId="1" applyFont="1" applyFill="1" applyAlignment="1">
      <alignment horizontal="left"/>
    </xf>
    <xf numFmtId="0" fontId="1" fillId="0" borderId="2" xfId="1" applyBorder="1" applyAlignment="1">
      <alignment vertical="top" wrapText="1"/>
    </xf>
    <xf numFmtId="0" fontId="30" fillId="0" borderId="3" xfId="1" applyFont="1" applyBorder="1" applyAlignment="1">
      <alignment vertical="top" wrapText="1"/>
    </xf>
    <xf numFmtId="0" fontId="1" fillId="0" borderId="4" xfId="1" applyBorder="1" applyAlignment="1">
      <alignment vertical="top" wrapText="1"/>
    </xf>
    <xf numFmtId="0" fontId="30" fillId="0" borderId="5" xfId="1" applyFont="1" applyBorder="1" applyAlignment="1">
      <alignment vertical="top" wrapText="1"/>
    </xf>
    <xf numFmtId="0" fontId="30" fillId="18" borderId="5" xfId="1" applyFont="1" applyFill="1" applyBorder="1" applyAlignment="1">
      <alignment vertical="top" wrapText="1"/>
    </xf>
    <xf numFmtId="0" fontId="30" fillId="19" borderId="5" xfId="1" applyFont="1" applyFill="1" applyBorder="1" applyAlignment="1">
      <alignment vertical="top" wrapText="1"/>
    </xf>
    <xf numFmtId="0" fontId="30" fillId="20" borderId="5" xfId="1" applyFont="1" applyFill="1" applyBorder="1" applyAlignment="1">
      <alignment vertical="top" wrapText="1"/>
    </xf>
    <xf numFmtId="0" fontId="30" fillId="22" borderId="6" xfId="1" applyFont="1" applyFill="1" applyBorder="1" applyAlignment="1">
      <alignment vertical="top" wrapText="1"/>
    </xf>
    <xf numFmtId="0" fontId="30" fillId="22" borderId="7" xfId="1" applyFont="1" applyFill="1" applyBorder="1" applyAlignment="1">
      <alignment vertical="top" wrapText="1"/>
    </xf>
    <xf numFmtId="0" fontId="34" fillId="0" borderId="0" xfId="1" applyFont="1"/>
    <xf numFmtId="0" fontId="35" fillId="25" borderId="0" xfId="1" applyFont="1" applyFill="1"/>
    <xf numFmtId="0" fontId="36" fillId="24" borderId="0" xfId="1" applyFont="1" applyFill="1"/>
    <xf numFmtId="0" fontId="34" fillId="22" borderId="0" xfId="1" applyFont="1" applyFill="1"/>
    <xf numFmtId="0" fontId="36" fillId="25" borderId="0" xfId="1" applyFont="1" applyFill="1"/>
    <xf numFmtId="0" fontId="1" fillId="0" borderId="0" xfId="1" applyAlignment="1">
      <alignment vertical="top" wrapText="1"/>
    </xf>
    <xf numFmtId="0" fontId="1" fillId="0" borderId="0" xfId="1" applyAlignment="1">
      <alignment wrapText="1"/>
    </xf>
    <xf numFmtId="0" fontId="30" fillId="0" borderId="8" xfId="1" applyFont="1" applyBorder="1" applyAlignment="1">
      <alignment horizontal="center" vertical="top" wrapText="1"/>
    </xf>
    <xf numFmtId="0" fontId="30" fillId="22" borderId="8" xfId="1" applyFont="1" applyFill="1" applyBorder="1" applyAlignment="1">
      <alignment horizontal="center" vertical="top" wrapText="1"/>
    </xf>
    <xf numFmtId="0" fontId="1" fillId="0" borderId="9" xfId="1" applyBorder="1" applyAlignment="1">
      <alignment vertical="top" wrapText="1"/>
    </xf>
    <xf numFmtId="0" fontId="1" fillId="0" borderId="3" xfId="1" applyBorder="1" applyAlignment="1">
      <alignment vertical="top" wrapText="1"/>
    </xf>
    <xf numFmtId="0" fontId="1" fillId="27" borderId="4" xfId="1" applyFill="1" applyBorder="1" applyAlignment="1">
      <alignment vertical="top" wrapText="1"/>
    </xf>
    <xf numFmtId="0" fontId="1" fillId="27" borderId="10" xfId="1" applyFill="1" applyBorder="1" applyAlignment="1">
      <alignment vertical="top" wrapText="1"/>
    </xf>
    <xf numFmtId="0" fontId="30" fillId="27" borderId="10" xfId="1" applyFont="1" applyFill="1" applyBorder="1" applyAlignment="1">
      <alignment vertical="top" wrapText="1"/>
    </xf>
    <xf numFmtId="0" fontId="1" fillId="27" borderId="5" xfId="1" applyFill="1" applyBorder="1" applyAlignment="1">
      <alignment vertical="top" wrapText="1"/>
    </xf>
    <xf numFmtId="0" fontId="1" fillId="0" borderId="10" xfId="1" applyBorder="1" applyAlignment="1">
      <alignment vertical="top" wrapText="1"/>
    </xf>
    <xf numFmtId="0" fontId="1" fillId="0" borderId="5" xfId="1" applyBorder="1" applyAlignment="1">
      <alignment vertical="top" wrapText="1"/>
    </xf>
    <xf numFmtId="0" fontId="1" fillId="23" borderId="4" xfId="1" applyFill="1" applyBorder="1" applyAlignment="1">
      <alignment vertical="top" wrapText="1"/>
    </xf>
    <xf numFmtId="0" fontId="1" fillId="23" borderId="10" xfId="1" applyFill="1" applyBorder="1" applyAlignment="1">
      <alignment vertical="top" wrapText="1"/>
    </xf>
    <xf numFmtId="0" fontId="30" fillId="23" borderId="10" xfId="1" applyFont="1" applyFill="1" applyBorder="1" applyAlignment="1">
      <alignment vertical="top" wrapText="1"/>
    </xf>
    <xf numFmtId="0" fontId="30" fillId="23" borderId="5" xfId="1" applyFont="1" applyFill="1" applyBorder="1" applyAlignment="1">
      <alignment horizontal="center" vertical="top" wrapText="1"/>
    </xf>
    <xf numFmtId="0" fontId="1" fillId="0" borderId="10" xfId="1" applyBorder="1" applyAlignment="1">
      <alignment horizontal="center" vertical="top" wrapText="1"/>
    </xf>
    <xf numFmtId="0" fontId="1" fillId="27" borderId="10" xfId="1" applyFill="1" applyBorder="1" applyAlignment="1">
      <alignment horizontal="center" vertical="top" wrapText="1"/>
    </xf>
    <xf numFmtId="0" fontId="1" fillId="26" borderId="4" xfId="1" applyFill="1" applyBorder="1" applyAlignment="1">
      <alignment vertical="top" wrapText="1"/>
    </xf>
    <xf numFmtId="0" fontId="30" fillId="26" borderId="10" xfId="1" applyFont="1" applyFill="1" applyBorder="1" applyAlignment="1">
      <alignment horizontal="center" vertical="top" wrapText="1"/>
    </xf>
    <xf numFmtId="0" fontId="30" fillId="26" borderId="5" xfId="1" applyFont="1" applyFill="1" applyBorder="1" applyAlignment="1">
      <alignment horizontal="center" vertical="top" wrapText="1"/>
    </xf>
    <xf numFmtId="0" fontId="30" fillId="22" borderId="6" xfId="1" applyFont="1" applyFill="1" applyBorder="1" applyAlignment="1">
      <alignment horizontal="center" vertical="top" wrapText="1"/>
    </xf>
    <xf numFmtId="0" fontId="30" fillId="22" borderId="11" xfId="1" applyFont="1" applyFill="1" applyBorder="1" applyAlignment="1">
      <alignment horizontal="center" vertical="top" wrapText="1"/>
    </xf>
    <xf numFmtId="0" fontId="30" fillId="22" borderId="7" xfId="1" applyFont="1" applyFill="1" applyBorder="1" applyAlignment="1">
      <alignment horizontal="center" vertical="top" wrapText="1"/>
    </xf>
    <xf numFmtId="0" fontId="40" fillId="27" borderId="2" xfId="1" applyFont="1" applyFill="1" applyBorder="1" applyAlignment="1">
      <alignment vertical="top" wrapText="1"/>
    </xf>
    <xf numFmtId="0" fontId="1" fillId="27" borderId="9" xfId="1" applyFill="1" applyBorder="1" applyAlignment="1">
      <alignment vertical="top" wrapText="1"/>
    </xf>
    <xf numFmtId="0" fontId="40" fillId="27" borderId="9" xfId="1" applyFont="1" applyFill="1" applyBorder="1" applyAlignment="1">
      <alignment vertical="top" wrapText="1"/>
    </xf>
    <xf numFmtId="0" fontId="1" fillId="27" borderId="3" xfId="1" applyFill="1" applyBorder="1" applyAlignment="1">
      <alignment vertical="top" wrapText="1"/>
    </xf>
    <xf numFmtId="0" fontId="1" fillId="0" borderId="9" xfId="1" applyBorder="1" applyAlignment="1">
      <alignment horizontal="center" vertical="top" wrapText="1"/>
    </xf>
    <xf numFmtId="0" fontId="30" fillId="0" borderId="3" xfId="1" applyFont="1" applyBorder="1" applyAlignment="1">
      <alignment horizontal="center" vertical="top" wrapText="1"/>
    </xf>
    <xf numFmtId="0" fontId="30" fillId="0" borderId="5" xfId="1" applyFont="1" applyBorder="1" applyAlignment="1">
      <alignment horizontal="center" vertical="top" wrapText="1"/>
    </xf>
    <xf numFmtId="0" fontId="30" fillId="22" borderId="11" xfId="1" applyFont="1" applyFill="1" applyBorder="1" applyAlignment="1">
      <alignment vertical="top" wrapText="1"/>
    </xf>
    <xf numFmtId="0" fontId="1" fillId="0" borderId="0" xfId="1" applyAlignment="1">
      <alignment vertical="center" wrapText="1"/>
    </xf>
    <xf numFmtId="0" fontId="1" fillId="0" borderId="0" xfId="1" applyAlignment="1">
      <alignment horizontal="center" vertical="center" wrapText="1"/>
    </xf>
    <xf numFmtId="0" fontId="30" fillId="29" borderId="2" xfId="1" applyFont="1" applyFill="1" applyBorder="1" applyAlignment="1">
      <alignment horizontal="center" vertical="center"/>
    </xf>
    <xf numFmtId="0" fontId="41" fillId="30" borderId="9" xfId="1" applyFont="1" applyFill="1" applyBorder="1" applyAlignment="1">
      <alignment horizontal="center" vertical="center"/>
    </xf>
    <xf numFmtId="0" fontId="30" fillId="17" borderId="9" xfId="1" applyFont="1" applyFill="1" applyBorder="1" applyAlignment="1">
      <alignment horizontal="center" vertical="center"/>
    </xf>
    <xf numFmtId="0" fontId="30" fillId="19" borderId="9" xfId="1" applyFont="1" applyFill="1" applyBorder="1" applyAlignment="1">
      <alignment horizontal="center" vertical="center"/>
    </xf>
    <xf numFmtId="0" fontId="1" fillId="0" borderId="9" xfId="1" applyBorder="1" applyAlignment="1">
      <alignment horizontal="left" vertical="center" wrapText="1"/>
    </xf>
    <xf numFmtId="0" fontId="1" fillId="0" borderId="3" xfId="1" applyBorder="1"/>
    <xf numFmtId="0" fontId="30" fillId="17" borderId="4" xfId="1" applyFont="1" applyFill="1" applyBorder="1" applyAlignment="1">
      <alignment horizontal="center" vertical="center"/>
    </xf>
    <xf numFmtId="0" fontId="30" fillId="19" borderId="10" xfId="1" applyFont="1" applyFill="1" applyBorder="1" applyAlignment="1">
      <alignment horizontal="center" vertical="center"/>
    </xf>
    <xf numFmtId="0" fontId="30" fillId="29" borderId="10" xfId="1" applyFont="1" applyFill="1" applyBorder="1" applyAlignment="1">
      <alignment horizontal="center" vertical="center"/>
    </xf>
    <xf numFmtId="0" fontId="41" fillId="30" borderId="10" xfId="1" applyFont="1" applyFill="1" applyBorder="1" applyAlignment="1">
      <alignment horizontal="center" vertical="center"/>
    </xf>
    <xf numFmtId="0" fontId="30" fillId="17" borderId="10" xfId="1" applyFont="1" applyFill="1" applyBorder="1" applyAlignment="1">
      <alignment horizontal="center" vertical="center"/>
    </xf>
    <xf numFmtId="0" fontId="1" fillId="0" borderId="10" xfId="1" applyBorder="1" applyAlignment="1">
      <alignment horizontal="left" vertical="center" wrapText="1"/>
    </xf>
    <xf numFmtId="0" fontId="1" fillId="0" borderId="5" xfId="1" applyBorder="1"/>
    <xf numFmtId="0" fontId="41" fillId="31" borderId="10" xfId="1" applyFont="1" applyFill="1" applyBorder="1" applyAlignment="1">
      <alignment horizontal="center" vertical="center"/>
    </xf>
    <xf numFmtId="0" fontId="30" fillId="26" borderId="4" xfId="1" applyFont="1" applyFill="1" applyBorder="1" applyAlignment="1">
      <alignment horizontal="center" vertical="center" wrapText="1"/>
    </xf>
    <xf numFmtId="0" fontId="30" fillId="26" borderId="10" xfId="1" applyFont="1" applyFill="1" applyBorder="1" applyAlignment="1">
      <alignment horizontal="center" vertical="center" wrapText="1"/>
    </xf>
    <xf numFmtId="0" fontId="30" fillId="26" borderId="10" xfId="1" applyFont="1" applyFill="1" applyBorder="1" applyAlignment="1">
      <alignment vertical="center" wrapText="1"/>
    </xf>
    <xf numFmtId="0" fontId="30" fillId="26" borderId="5" xfId="1" applyFont="1" applyFill="1" applyBorder="1" applyAlignment="1">
      <alignment horizontal="center" vertical="center" wrapText="1"/>
    </xf>
    <xf numFmtId="0" fontId="30" fillId="22" borderId="11" xfId="1" applyFont="1" applyFill="1" applyBorder="1" applyAlignment="1">
      <alignment horizontal="center" vertical="center" wrapText="1"/>
    </xf>
    <xf numFmtId="0" fontId="34" fillId="26" borderId="0" xfId="1" applyFont="1" applyFill="1"/>
    <xf numFmtId="9" fontId="1" fillId="0" borderId="10" xfId="1" applyNumberFormat="1" applyBorder="1" applyAlignment="1">
      <alignment vertical="top" wrapText="1"/>
    </xf>
    <xf numFmtId="0" fontId="30" fillId="17" borderId="9" xfId="1" applyFont="1" applyFill="1" applyBorder="1" applyAlignment="1">
      <alignment horizontal="center" vertical="top" wrapText="1"/>
    </xf>
    <xf numFmtId="0" fontId="30" fillId="18" borderId="9" xfId="1" applyFont="1" applyFill="1" applyBorder="1" applyAlignment="1">
      <alignment horizontal="center" vertical="top" wrapText="1"/>
    </xf>
    <xf numFmtId="0" fontId="30" fillId="17" borderId="10" xfId="1" applyFont="1" applyFill="1" applyBorder="1" applyAlignment="1">
      <alignment horizontal="center" vertical="top" wrapText="1"/>
    </xf>
    <xf numFmtId="0" fontId="30" fillId="18" borderId="10" xfId="1" applyFont="1" applyFill="1" applyBorder="1" applyAlignment="1">
      <alignment horizontal="center" vertical="top" wrapText="1"/>
    </xf>
    <xf numFmtId="0" fontId="41" fillId="32" borderId="10" xfId="1" applyFont="1" applyFill="1" applyBorder="1" applyAlignment="1">
      <alignment horizontal="center" vertical="top" wrapText="1"/>
    </xf>
    <xf numFmtId="0" fontId="30" fillId="20" borderId="10" xfId="1" applyFont="1" applyFill="1" applyBorder="1" applyAlignment="1">
      <alignment horizontal="center" vertical="top" wrapText="1"/>
    </xf>
    <xf numFmtId="0" fontId="30" fillId="26" borderId="0" xfId="1" applyFont="1" applyFill="1"/>
    <xf numFmtId="0" fontId="43" fillId="18" borderId="0" xfId="1" applyFont="1" applyFill="1"/>
    <xf numFmtId="0" fontId="43" fillId="20" borderId="0" xfId="1" applyFont="1" applyFill="1"/>
    <xf numFmtId="0" fontId="45" fillId="0" borderId="0" xfId="0" applyFont="1"/>
    <xf numFmtId="0" fontId="47" fillId="0" borderId="0" xfId="0" applyFont="1"/>
    <xf numFmtId="0" fontId="49" fillId="0" borderId="0" xfId="0" applyFont="1"/>
    <xf numFmtId="0" fontId="50" fillId="0" borderId="0" xfId="0" applyFont="1"/>
    <xf numFmtId="173" fontId="51" fillId="0" borderId="0" xfId="0" applyNumberFormat="1" applyFont="1"/>
    <xf numFmtId="173" fontId="0" fillId="0" borderId="0" xfId="0" applyNumberFormat="1"/>
    <xf numFmtId="173" fontId="21" fillId="6" borderId="0" xfId="0" applyNumberFormat="1" applyFont="1" applyFill="1"/>
    <xf numFmtId="175" fontId="0" fillId="0" borderId="0" xfId="0" applyNumberFormat="1"/>
    <xf numFmtId="173" fontId="9" fillId="4" borderId="1" xfId="0" applyNumberFormat="1" applyFont="1" applyFill="1" applyBorder="1" applyAlignment="1">
      <alignment horizontal="center" vertical="center"/>
    </xf>
    <xf numFmtId="169" fontId="51" fillId="0" borderId="0" xfId="0" applyNumberFormat="1" applyFont="1"/>
    <xf numFmtId="0" fontId="52" fillId="0" borderId="0" xfId="0" applyFont="1"/>
    <xf numFmtId="3" fontId="18" fillId="8" borderId="0" xfId="0" applyNumberFormat="1" applyFont="1" applyFill="1"/>
    <xf numFmtId="173" fontId="18" fillId="8" borderId="0" xfId="0" applyNumberFormat="1" applyFont="1" applyFill="1"/>
    <xf numFmtId="2" fontId="51" fillId="0" borderId="0" xfId="0" applyNumberFormat="1" applyFont="1"/>
    <xf numFmtId="0" fontId="10" fillId="5" borderId="26" xfId="0" applyFont="1" applyFill="1" applyBorder="1" applyAlignment="1">
      <alignment horizontal="center" vertical="center"/>
    </xf>
    <xf numFmtId="0" fontId="44" fillId="0" borderId="0" xfId="2"/>
    <xf numFmtId="0" fontId="55" fillId="33" borderId="28" xfId="0" applyFont="1" applyFill="1" applyBorder="1"/>
    <xf numFmtId="0" fontId="55" fillId="33" borderId="28" xfId="0" applyFont="1" applyFill="1" applyBorder="1" applyAlignment="1">
      <alignment horizontal="right"/>
    </xf>
    <xf numFmtId="0" fontId="55" fillId="33" borderId="29" xfId="0" applyFont="1" applyFill="1" applyBorder="1"/>
    <xf numFmtId="0" fontId="60" fillId="35" borderId="31" xfId="0" applyFont="1" applyFill="1" applyBorder="1"/>
    <xf numFmtId="3" fontId="61" fillId="35" borderId="31" xfId="0" applyNumberFormat="1" applyFont="1" applyFill="1" applyBorder="1"/>
    <xf numFmtId="0" fontId="62" fillId="35" borderId="31" xfId="0" applyFont="1" applyFill="1" applyBorder="1"/>
    <xf numFmtId="0" fontId="63" fillId="35" borderId="31" xfId="2" applyFont="1" applyFill="1" applyBorder="1"/>
    <xf numFmtId="0" fontId="60" fillId="0" borderId="31" xfId="0" applyFont="1" applyBorder="1"/>
    <xf numFmtId="173" fontId="61" fillId="0" borderId="31" xfId="0" applyNumberFormat="1" applyFont="1" applyBorder="1"/>
    <xf numFmtId="0" fontId="62" fillId="0" borderId="31" xfId="0" applyFont="1" applyBorder="1"/>
    <xf numFmtId="0" fontId="63" fillId="0" borderId="31" xfId="2" applyFont="1" applyBorder="1"/>
    <xf numFmtId="173" fontId="61" fillId="35" borderId="31" xfId="0" applyNumberFormat="1" applyFont="1" applyFill="1" applyBorder="1"/>
    <xf numFmtId="4" fontId="61" fillId="0" borderId="31" xfId="0" applyNumberFormat="1" applyFont="1" applyBorder="1"/>
    <xf numFmtId="0" fontId="64" fillId="0" borderId="31" xfId="0" applyFont="1" applyBorder="1"/>
    <xf numFmtId="4" fontId="61" fillId="35" borderId="31" xfId="0" applyNumberFormat="1" applyFont="1" applyFill="1" applyBorder="1"/>
    <xf numFmtId="0" fontId="64" fillId="35" borderId="31" xfId="0" applyFont="1" applyFill="1" applyBorder="1"/>
    <xf numFmtId="3" fontId="61" fillId="0" borderId="31" xfId="0" applyNumberFormat="1" applyFont="1" applyBorder="1"/>
    <xf numFmtId="2" fontId="61" fillId="0" borderId="31" xfId="0" applyNumberFormat="1" applyFont="1" applyBorder="1"/>
    <xf numFmtId="0" fontId="65" fillId="0" borderId="31" xfId="0" applyFont="1" applyBorder="1"/>
    <xf numFmtId="3" fontId="66" fillId="0" borderId="31" xfId="0" applyNumberFormat="1" applyFont="1" applyBorder="1"/>
    <xf numFmtId="0" fontId="67" fillId="0" borderId="31" xfId="0" applyFont="1" applyBorder="1"/>
    <xf numFmtId="3" fontId="60" fillId="35" borderId="31" xfId="0" applyNumberFormat="1" applyFont="1" applyFill="1" applyBorder="1"/>
    <xf numFmtId="0" fontId="68" fillId="35" borderId="31" xfId="0" applyFont="1" applyFill="1" applyBorder="1"/>
    <xf numFmtId="3" fontId="60" fillId="0" borderId="31" xfId="0" applyNumberFormat="1" applyFont="1" applyBorder="1"/>
    <xf numFmtId="0" fontId="68" fillId="0" borderId="31" xfId="0" applyFont="1" applyBorder="1"/>
    <xf numFmtId="0" fontId="61" fillId="0" borderId="31" xfId="0" applyFont="1" applyBorder="1"/>
    <xf numFmtId="0" fontId="61" fillId="35" borderId="31" xfId="0" applyFont="1" applyFill="1" applyBorder="1"/>
    <xf numFmtId="0" fontId="65" fillId="35" borderId="31" xfId="0" applyFont="1" applyFill="1" applyBorder="1"/>
    <xf numFmtId="9" fontId="65" fillId="35" borderId="31" xfId="0" applyNumberFormat="1" applyFont="1" applyFill="1" applyBorder="1"/>
    <xf numFmtId="2" fontId="60" fillId="0" borderId="31" xfId="0" applyNumberFormat="1" applyFont="1" applyBorder="1"/>
    <xf numFmtId="0" fontId="67" fillId="35" borderId="31" xfId="0" applyFont="1" applyFill="1" applyBorder="1"/>
    <xf numFmtId="176" fontId="61" fillId="0" borderId="31" xfId="0" applyNumberFormat="1" applyFont="1" applyBorder="1"/>
    <xf numFmtId="0" fontId="67" fillId="34" borderId="31" xfId="0" applyFont="1" applyFill="1" applyBorder="1"/>
    <xf numFmtId="174" fontId="61" fillId="0" borderId="31" xfId="0" applyNumberFormat="1" applyFont="1" applyBorder="1"/>
    <xf numFmtId="9" fontId="61" fillId="0" borderId="31" xfId="0" applyNumberFormat="1" applyFont="1" applyBorder="1"/>
    <xf numFmtId="0" fontId="64" fillId="34" borderId="31" xfId="0" applyFont="1" applyFill="1" applyBorder="1"/>
    <xf numFmtId="0" fontId="60" fillId="35" borderId="34" xfId="0" applyFont="1" applyFill="1" applyBorder="1"/>
    <xf numFmtId="0" fontId="67" fillId="35" borderId="34" xfId="0" applyFont="1" applyFill="1" applyBorder="1"/>
    <xf numFmtId="0" fontId="60" fillId="35" borderId="28" xfId="0" applyFont="1" applyFill="1" applyBorder="1"/>
    <xf numFmtId="3" fontId="61" fillId="35" borderId="28" xfId="0" applyNumberFormat="1" applyFont="1" applyFill="1" applyBorder="1"/>
    <xf numFmtId="0" fontId="62" fillId="35" borderId="28" xfId="0" applyFont="1" applyFill="1" applyBorder="1"/>
    <xf numFmtId="0" fontId="63" fillId="35" borderId="28" xfId="2" applyFont="1" applyFill="1" applyBorder="1"/>
    <xf numFmtId="0" fontId="55" fillId="33" borderId="36" xfId="0" applyFont="1" applyFill="1" applyBorder="1" applyAlignment="1">
      <alignment horizontal="center"/>
    </xf>
    <xf numFmtId="0" fontId="55" fillId="33" borderId="37" xfId="0" applyFont="1" applyFill="1" applyBorder="1"/>
    <xf numFmtId="0" fontId="55" fillId="33" borderId="37" xfId="0" applyFont="1" applyFill="1" applyBorder="1" applyAlignment="1">
      <alignment horizontal="right"/>
    </xf>
    <xf numFmtId="0" fontId="55" fillId="33" borderId="38" xfId="0" applyFont="1" applyFill="1" applyBorder="1"/>
    <xf numFmtId="0" fontId="60" fillId="35" borderId="27" xfId="0" applyFont="1" applyFill="1" applyBorder="1" applyAlignment="1">
      <alignment horizontal="center"/>
    </xf>
    <xf numFmtId="0" fontId="60" fillId="0" borderId="30" xfId="0" applyFont="1" applyBorder="1" applyAlignment="1">
      <alignment horizontal="center"/>
    </xf>
    <xf numFmtId="0" fontId="60" fillId="35" borderId="30" xfId="0" applyFont="1" applyFill="1" applyBorder="1" applyAlignment="1">
      <alignment horizontal="center"/>
    </xf>
    <xf numFmtId="0" fontId="60" fillId="35" borderId="33" xfId="0" applyFont="1" applyFill="1" applyBorder="1" applyAlignment="1">
      <alignment horizontal="center"/>
    </xf>
    <xf numFmtId="0" fontId="60" fillId="35" borderId="29" xfId="0" applyFont="1" applyFill="1" applyBorder="1" applyAlignment="1">
      <alignment wrapText="1"/>
    </xf>
    <xf numFmtId="0" fontId="60" fillId="0" borderId="32" xfId="0" applyFont="1" applyBorder="1" applyAlignment="1">
      <alignment wrapText="1"/>
    </xf>
    <xf numFmtId="0" fontId="60" fillId="35" borderId="32" xfId="0" applyFont="1" applyFill="1" applyBorder="1" applyAlignment="1">
      <alignment wrapText="1"/>
    </xf>
    <xf numFmtId="0" fontId="60" fillId="35" borderId="35" xfId="0" applyFont="1" applyFill="1" applyBorder="1" applyAlignment="1">
      <alignment wrapText="1"/>
    </xf>
    <xf numFmtId="0" fontId="60" fillId="0" borderId="31" xfId="0" applyFont="1" applyBorder="1" applyAlignment="1">
      <alignment wrapText="1"/>
    </xf>
    <xf numFmtId="0" fontId="60" fillId="0" borderId="33" xfId="0" applyFont="1" applyBorder="1" applyAlignment="1">
      <alignment horizontal="center"/>
    </xf>
    <xf numFmtId="0" fontId="60" fillId="0" borderId="34" xfId="0" applyFont="1" applyBorder="1"/>
    <xf numFmtId="0" fontId="60" fillId="0" borderId="34" xfId="0" applyFont="1" applyBorder="1" applyAlignment="1">
      <alignment wrapText="1"/>
    </xf>
    <xf numFmtId="0" fontId="60" fillId="36" borderId="28" xfId="0" applyFont="1" applyFill="1" applyBorder="1"/>
    <xf numFmtId="0" fontId="60" fillId="36" borderId="31" xfId="0" applyFont="1" applyFill="1" applyBorder="1"/>
    <xf numFmtId="0" fontId="60" fillId="22" borderId="31" xfId="0" applyFont="1" applyFill="1" applyBorder="1"/>
    <xf numFmtId="0" fontId="60" fillId="37" borderId="31" xfId="0" applyFont="1" applyFill="1" applyBorder="1"/>
    <xf numFmtId="0" fontId="60" fillId="38" borderId="31" xfId="0" applyFont="1" applyFill="1" applyBorder="1"/>
    <xf numFmtId="0" fontId="60" fillId="38" borderId="34" xfId="0" applyFont="1" applyFill="1" applyBorder="1"/>
    <xf numFmtId="0" fontId="64" fillId="0" borderId="32" xfId="0" applyFont="1" applyBorder="1"/>
    <xf numFmtId="0" fontId="67" fillId="0" borderId="32" xfId="0" applyFont="1" applyBorder="1"/>
    <xf numFmtId="0" fontId="62" fillId="0" borderId="32" xfId="0" applyFont="1" applyBorder="1"/>
    <xf numFmtId="0" fontId="68" fillId="0" borderId="32" xfId="0" applyFont="1" applyBorder="1"/>
    <xf numFmtId="0" fontId="67" fillId="34" borderId="35" xfId="0" applyFont="1" applyFill="1" applyBorder="1"/>
    <xf numFmtId="0" fontId="60" fillId="35" borderId="28" xfId="0" applyFont="1" applyFill="1" applyBorder="1" applyAlignment="1">
      <alignment wrapText="1"/>
    </xf>
    <xf numFmtId="0" fontId="67" fillId="35" borderId="29" xfId="0" applyFont="1" applyFill="1" applyBorder="1"/>
    <xf numFmtId="0" fontId="60" fillId="35" borderId="31" xfId="0" applyFont="1" applyFill="1" applyBorder="1" applyAlignment="1">
      <alignment wrapText="1"/>
    </xf>
    <xf numFmtId="0" fontId="64" fillId="35" borderId="32" xfId="0" applyFont="1" applyFill="1" applyBorder="1"/>
    <xf numFmtId="0" fontId="62" fillId="35" borderId="32" xfId="0" applyFont="1" applyFill="1" applyBorder="1"/>
    <xf numFmtId="0" fontId="68" fillId="35" borderId="32" xfId="0" applyFont="1" applyFill="1" applyBorder="1"/>
    <xf numFmtId="0" fontId="67" fillId="35" borderId="32" xfId="0" applyFont="1" applyFill="1" applyBorder="1"/>
    <xf numFmtId="177" fontId="0" fillId="0" borderId="0" xfId="0" applyNumberFormat="1"/>
    <xf numFmtId="0" fontId="69" fillId="0" borderId="19" xfId="0" applyFont="1" applyBorder="1"/>
    <xf numFmtId="0" fontId="48" fillId="0" borderId="19" xfId="0" applyFont="1" applyBorder="1"/>
    <xf numFmtId="177" fontId="48" fillId="0" borderId="19" xfId="0" applyNumberFormat="1" applyFont="1" applyBorder="1"/>
    <xf numFmtId="0" fontId="69" fillId="0" borderId="18" xfId="0" applyFont="1" applyBorder="1"/>
    <xf numFmtId="0" fontId="48" fillId="0" borderId="18" xfId="0" applyFont="1" applyBorder="1"/>
    <xf numFmtId="177" fontId="48" fillId="0" borderId="18" xfId="0" applyNumberFormat="1" applyFont="1" applyBorder="1"/>
    <xf numFmtId="0" fontId="46" fillId="33" borderId="18" xfId="0" applyFont="1" applyFill="1" applyBorder="1"/>
    <xf numFmtId="177" fontId="46" fillId="33" borderId="18" xfId="0" applyNumberFormat="1" applyFont="1" applyFill="1" applyBorder="1"/>
    <xf numFmtId="0" fontId="55" fillId="33" borderId="28" xfId="0" applyFont="1" applyFill="1" applyBorder="1" applyAlignment="1">
      <alignment horizontal="center"/>
    </xf>
    <xf numFmtId="0" fontId="0" fillId="35" borderId="30" xfId="0" applyFill="1" applyBorder="1"/>
    <xf numFmtId="177" fontId="0" fillId="35" borderId="31" xfId="0" applyNumberFormat="1" applyFill="1" applyBorder="1"/>
    <xf numFmtId="0" fontId="0" fillId="35" borderId="31" xfId="0" applyFill="1" applyBorder="1"/>
    <xf numFmtId="0" fontId="0" fillId="0" borderId="30" xfId="0" applyBorder="1"/>
    <xf numFmtId="177" fontId="0" fillId="0" borderId="31" xfId="0" applyNumberFormat="1" applyBorder="1"/>
    <xf numFmtId="0" fontId="0" fillId="0" borderId="31" xfId="0" applyBorder="1"/>
    <xf numFmtId="0" fontId="0" fillId="0" borderId="33" xfId="0" applyBorder="1"/>
    <xf numFmtId="177" fontId="0" fillId="0" borderId="34" xfId="0" applyNumberFormat="1" applyBorder="1"/>
    <xf numFmtId="0" fontId="0" fillId="0" borderId="34" xfId="0" applyBorder="1"/>
    <xf numFmtId="0" fontId="44" fillId="35" borderId="31" xfId="2" applyFill="1" applyBorder="1"/>
    <xf numFmtId="0" fontId="44" fillId="0" borderId="31" xfId="2" applyBorder="1"/>
    <xf numFmtId="0" fontId="0" fillId="35" borderId="31" xfId="0" applyFill="1" applyBorder="1" applyAlignment="1">
      <alignment wrapText="1"/>
    </xf>
    <xf numFmtId="0" fontId="0" fillId="0" borderId="31" xfId="0" applyBorder="1" applyAlignment="1">
      <alignment wrapText="1"/>
    </xf>
    <xf numFmtId="0" fontId="0" fillId="0" borderId="34" xfId="0" applyBorder="1" applyAlignment="1">
      <alignment wrapText="1"/>
    </xf>
    <xf numFmtId="0" fontId="56" fillId="35" borderId="32" xfId="0" applyFont="1" applyFill="1" applyBorder="1" applyAlignment="1">
      <alignment wrapText="1"/>
    </xf>
    <xf numFmtId="0" fontId="58" fillId="0" borderId="32" xfId="0" applyFont="1" applyBorder="1" applyAlignment="1">
      <alignment wrapText="1"/>
    </xf>
    <xf numFmtId="0" fontId="56" fillId="0" borderId="32" xfId="0" applyFont="1" applyBorder="1" applyAlignment="1">
      <alignment wrapText="1"/>
    </xf>
    <xf numFmtId="0" fontId="57" fillId="0" borderId="32" xfId="0" applyFont="1" applyBorder="1" applyAlignment="1">
      <alignment wrapText="1"/>
    </xf>
    <xf numFmtId="0" fontId="57" fillId="35" borderId="32" xfId="0" applyFont="1" applyFill="1" applyBorder="1" applyAlignment="1">
      <alignment wrapText="1"/>
    </xf>
    <xf numFmtId="0" fontId="58" fillId="35" borderId="32" xfId="0" applyFont="1" applyFill="1" applyBorder="1" applyAlignment="1">
      <alignment wrapText="1"/>
    </xf>
    <xf numFmtId="0" fontId="59" fillId="0" borderId="32" xfId="0" applyFont="1" applyBorder="1" applyAlignment="1">
      <alignment wrapText="1"/>
    </xf>
    <xf numFmtId="0" fontId="59" fillId="0" borderId="35" xfId="0" applyFont="1" applyBorder="1" applyAlignment="1">
      <alignment wrapText="1"/>
    </xf>
    <xf numFmtId="0" fontId="44" fillId="0" borderId="0" xfId="2" applyFill="1" applyBorder="1"/>
    <xf numFmtId="0" fontId="55" fillId="33" borderId="26" xfId="0" applyFont="1" applyFill="1" applyBorder="1" applyAlignment="1">
      <alignment horizontal="center" vertical="center"/>
    </xf>
    <xf numFmtId="0" fontId="55" fillId="33" borderId="22" xfId="0" applyFont="1" applyFill="1" applyBorder="1" applyAlignment="1">
      <alignment horizontal="center" vertical="center"/>
    </xf>
    <xf numFmtId="0" fontId="10" fillId="5" borderId="23" xfId="0" applyFont="1" applyFill="1" applyBorder="1" applyAlignment="1">
      <alignment horizontal="center" vertical="center"/>
    </xf>
    <xf numFmtId="0" fontId="55" fillId="33" borderId="0" xfId="1" applyFont="1" applyFill="1" applyAlignment="1">
      <alignment horizontal="center"/>
    </xf>
    <xf numFmtId="0" fontId="71" fillId="0" borderId="0" xfId="1" applyFont="1"/>
    <xf numFmtId="0" fontId="17" fillId="0" borderId="0" xfId="0" applyFont="1" applyAlignment="1">
      <alignment vertical="top" wrapText="1"/>
    </xf>
    <xf numFmtId="0" fontId="72" fillId="0" borderId="0" xfId="0" applyFont="1"/>
    <xf numFmtId="0" fontId="73" fillId="0" borderId="0" xfId="0" applyFont="1"/>
    <xf numFmtId="2" fontId="17" fillId="0" borderId="0" xfId="0" applyNumberFormat="1" applyFont="1"/>
    <xf numFmtId="3" fontId="17" fillId="0" borderId="0" xfId="0" applyNumberFormat="1" applyFont="1"/>
    <xf numFmtId="3" fontId="18" fillId="0" borderId="0" xfId="0" applyNumberFormat="1" applyFont="1"/>
    <xf numFmtId="3" fontId="18" fillId="39" borderId="0" xfId="0" applyNumberFormat="1" applyFont="1" applyFill="1"/>
    <xf numFmtId="0" fontId="74" fillId="0" borderId="0" xfId="0" applyFont="1"/>
    <xf numFmtId="2" fontId="18" fillId="0" borderId="0" xfId="0" applyNumberFormat="1" applyFont="1"/>
    <xf numFmtId="173" fontId="18" fillId="0" borderId="0" xfId="0" applyNumberFormat="1" applyFont="1"/>
    <xf numFmtId="0" fontId="10" fillId="40" borderId="0" xfId="0" applyFont="1" applyFill="1" applyAlignment="1">
      <alignment horizontal="center" vertical="center" wrapText="1"/>
    </xf>
    <xf numFmtId="3" fontId="72" fillId="0" borderId="0" xfId="0" applyNumberFormat="1" applyFont="1"/>
    <xf numFmtId="3" fontId="12" fillId="0" borderId="0" xfId="0" applyNumberFormat="1" applyFont="1"/>
    <xf numFmtId="173" fontId="12" fillId="0" borderId="0" xfId="0" applyNumberFormat="1" applyFont="1"/>
    <xf numFmtId="9" fontId="18" fillId="0" borderId="0" xfId="0" applyNumberFormat="1" applyFont="1"/>
    <xf numFmtId="0" fontId="75" fillId="0" borderId="0" xfId="0" applyFont="1"/>
    <xf numFmtId="3" fontId="72" fillId="41" borderId="0" xfId="0" applyNumberFormat="1" applyFont="1" applyFill="1"/>
    <xf numFmtId="0" fontId="72" fillId="41" borderId="0" xfId="0" applyFont="1" applyFill="1"/>
    <xf numFmtId="4" fontId="18" fillId="0" borderId="0" xfId="0" applyNumberFormat="1" applyFont="1"/>
    <xf numFmtId="3" fontId="72" fillId="42" borderId="0" xfId="0" applyNumberFormat="1" applyFont="1" applyFill="1"/>
    <xf numFmtId="0" fontId="72" fillId="42" borderId="0" xfId="0" applyFont="1" applyFill="1"/>
    <xf numFmtId="0" fontId="10" fillId="40" borderId="0" xfId="0" applyFont="1" applyFill="1"/>
    <xf numFmtId="173" fontId="17" fillId="0" borderId="0" xfId="0" applyNumberFormat="1" applyFont="1"/>
    <xf numFmtId="0" fontId="75" fillId="0" borderId="0" xfId="0" applyFont="1" applyAlignment="1">
      <alignment vertical="top" wrapText="1"/>
    </xf>
    <xf numFmtId="178" fontId="18" fillId="0" borderId="0" xfId="0" applyNumberFormat="1" applyFont="1"/>
    <xf numFmtId="0" fontId="10" fillId="40" borderId="0" xfId="0" applyFont="1" applyFill="1" applyAlignment="1">
      <alignment horizontal="center" wrapText="1"/>
    </xf>
    <xf numFmtId="0" fontId="0" fillId="0" borderId="0" xfId="0" quotePrefix="1"/>
    <xf numFmtId="0" fontId="51" fillId="0" borderId="0" xfId="0" applyFont="1"/>
    <xf numFmtId="0" fontId="0" fillId="0" borderId="0" xfId="0" applyAlignment="1">
      <alignment wrapText="1"/>
    </xf>
    <xf numFmtId="0" fontId="49" fillId="44" borderId="0" xfId="0" applyFont="1" applyFill="1"/>
    <xf numFmtId="0" fontId="78" fillId="0" borderId="0" xfId="0" applyFont="1"/>
    <xf numFmtId="173" fontId="78" fillId="0" borderId="0" xfId="0" applyNumberFormat="1" applyFont="1"/>
    <xf numFmtId="0" fontId="79" fillId="0" borderId="0" xfId="0" applyFont="1"/>
    <xf numFmtId="0" fontId="49" fillId="45" borderId="0" xfId="0" applyFont="1" applyFill="1"/>
    <xf numFmtId="0" fontId="49" fillId="46" borderId="0" xfId="0" applyFont="1" applyFill="1"/>
    <xf numFmtId="0" fontId="49" fillId="47" borderId="0" xfId="0" applyFont="1" applyFill="1"/>
    <xf numFmtId="0" fontId="49" fillId="48" borderId="0" xfId="0" applyFont="1" applyFill="1"/>
    <xf numFmtId="0" fontId="49" fillId="49" borderId="0" xfId="0" applyFont="1" applyFill="1"/>
    <xf numFmtId="0" fontId="81" fillId="0" borderId="0" xfId="0" applyFont="1"/>
    <xf numFmtId="173" fontId="49" fillId="0" borderId="0" xfId="0" applyNumberFormat="1" applyFont="1"/>
    <xf numFmtId="0" fontId="82" fillId="0" borderId="0" xfId="0" applyFont="1"/>
    <xf numFmtId="0" fontId="83" fillId="0" borderId="0" xfId="0" applyFont="1"/>
    <xf numFmtId="0" fontId="84" fillId="0" borderId="0" xfId="0" applyFont="1"/>
    <xf numFmtId="0" fontId="86" fillId="0" borderId="0" xfId="0" applyFont="1"/>
    <xf numFmtId="0" fontId="0" fillId="0" borderId="8" xfId="0" applyBorder="1"/>
    <xf numFmtId="0" fontId="80" fillId="53" borderId="0" xfId="0" applyFont="1" applyFill="1"/>
    <xf numFmtId="0" fontId="49" fillId="52" borderId="0" xfId="0" applyFont="1" applyFill="1"/>
    <xf numFmtId="178" fontId="49" fillId="46" borderId="0" xfId="0" applyNumberFormat="1" applyFont="1" applyFill="1"/>
    <xf numFmtId="178" fontId="49" fillId="52" borderId="0" xfId="0" applyNumberFormat="1" applyFont="1" applyFill="1"/>
    <xf numFmtId="2" fontId="49" fillId="46" borderId="0" xfId="0" applyNumberFormat="1" applyFont="1" applyFill="1"/>
    <xf numFmtId="2" fontId="49" fillId="52" borderId="0" xfId="0" applyNumberFormat="1" applyFont="1" applyFill="1"/>
    <xf numFmtId="0" fontId="85" fillId="49" borderId="0" xfId="0" applyFont="1" applyFill="1"/>
    <xf numFmtId="0" fontId="80" fillId="54" borderId="0" xfId="0" applyFont="1" applyFill="1"/>
    <xf numFmtId="0" fontId="49" fillId="55" borderId="0" xfId="0" applyFont="1" applyFill="1"/>
    <xf numFmtId="0" fontId="89" fillId="0" borderId="0" xfId="0" applyFont="1"/>
    <xf numFmtId="0" fontId="80" fillId="50" borderId="0" xfId="0" applyFont="1" applyFill="1"/>
    <xf numFmtId="0" fontId="49" fillId="56" borderId="0" xfId="0" applyFont="1" applyFill="1"/>
    <xf numFmtId="0" fontId="49" fillId="57" borderId="0" xfId="0" applyFont="1" applyFill="1"/>
    <xf numFmtId="0" fontId="49" fillId="59" borderId="0" xfId="0" applyFont="1" applyFill="1"/>
    <xf numFmtId="0" fontId="90" fillId="0" borderId="0" xfId="0" applyFont="1"/>
    <xf numFmtId="0" fontId="49" fillId="60" borderId="0" xfId="0" applyFont="1" applyFill="1"/>
    <xf numFmtId="0" fontId="80" fillId="51" borderId="0" xfId="0" applyFont="1" applyFill="1"/>
    <xf numFmtId="0" fontId="49" fillId="62" borderId="0" xfId="0" applyFont="1" applyFill="1"/>
    <xf numFmtId="0" fontId="49" fillId="63" borderId="0" xfId="0" applyFont="1" applyFill="1"/>
    <xf numFmtId="3" fontId="0" fillId="0" borderId="0" xfId="0" applyNumberFormat="1"/>
    <xf numFmtId="0" fontId="88" fillId="64" borderId="0" xfId="0" applyFont="1" applyFill="1"/>
    <xf numFmtId="0" fontId="11" fillId="49" borderId="0" xfId="0" applyFont="1" applyFill="1"/>
    <xf numFmtId="0" fontId="10" fillId="45" borderId="1" xfId="0" applyFont="1" applyFill="1" applyBorder="1" applyAlignment="1">
      <alignment horizontal="center" vertical="center"/>
    </xf>
    <xf numFmtId="0" fontId="10" fillId="49" borderId="1" xfId="0" applyFont="1" applyFill="1" applyBorder="1" applyAlignment="1">
      <alignment horizontal="center" vertical="center"/>
    </xf>
    <xf numFmtId="0" fontId="0" fillId="47" borderId="0" xfId="0" applyFill="1"/>
    <xf numFmtId="0" fontId="49" fillId="67" borderId="0" xfId="0" applyFont="1" applyFill="1"/>
    <xf numFmtId="0" fontId="49" fillId="68" borderId="0" xfId="0" applyFont="1" applyFill="1"/>
    <xf numFmtId="0" fontId="77" fillId="49" borderId="0" xfId="0" applyFont="1" applyFill="1"/>
    <xf numFmtId="0" fontId="92" fillId="0" borderId="0" xfId="0" applyFont="1"/>
    <xf numFmtId="0" fontId="93" fillId="49" borderId="0" xfId="0" applyFont="1" applyFill="1"/>
    <xf numFmtId="0" fontId="93" fillId="69" borderId="0" xfId="0" applyFont="1" applyFill="1"/>
    <xf numFmtId="0" fontId="49" fillId="69" borderId="0" xfId="0" applyFont="1" applyFill="1"/>
    <xf numFmtId="0" fontId="49" fillId="65" borderId="0" xfId="0" applyFont="1" applyFill="1"/>
    <xf numFmtId="0" fontId="49" fillId="67" borderId="0" xfId="0" applyFont="1" applyFill="1" applyAlignment="1">
      <alignment horizontal="center"/>
    </xf>
    <xf numFmtId="0" fontId="49" fillId="68" borderId="0" xfId="0" applyFont="1" applyFill="1" applyAlignment="1">
      <alignment horizontal="center"/>
    </xf>
    <xf numFmtId="9" fontId="0" fillId="0" borderId="0" xfId="0" applyNumberFormat="1"/>
    <xf numFmtId="3" fontId="49" fillId="49" borderId="0" xfId="0" applyNumberFormat="1" applyFont="1" applyFill="1"/>
    <xf numFmtId="179" fontId="0" fillId="0" borderId="0" xfId="0" applyNumberFormat="1"/>
    <xf numFmtId="179" fontId="49" fillId="69" borderId="0" xfId="0" applyNumberFormat="1" applyFont="1" applyFill="1"/>
    <xf numFmtId="179" fontId="49" fillId="0" borderId="0" xfId="0" applyNumberFormat="1" applyFont="1"/>
    <xf numFmtId="179" fontId="49" fillId="44" borderId="0" xfId="0" applyNumberFormat="1" applyFont="1" applyFill="1"/>
    <xf numFmtId="3" fontId="51" fillId="0" borderId="0" xfId="0" applyNumberFormat="1" applyFont="1"/>
    <xf numFmtId="179" fontId="49" fillId="45" borderId="0" xfId="0" applyNumberFormat="1" applyFont="1" applyFill="1"/>
    <xf numFmtId="178" fontId="0" fillId="0" borderId="0" xfId="0" applyNumberFormat="1"/>
    <xf numFmtId="0" fontId="49" fillId="0" borderId="0" xfId="0" applyFont="1" applyAlignment="1">
      <alignment horizontal="center"/>
    </xf>
    <xf numFmtId="0" fontId="46" fillId="66" borderId="0" xfId="0" applyFont="1" applyFill="1"/>
    <xf numFmtId="3" fontId="77" fillId="0" borderId="0" xfId="0" applyNumberFormat="1" applyFont="1"/>
    <xf numFmtId="0" fontId="94" fillId="0" borderId="0" xfId="0" applyFont="1"/>
    <xf numFmtId="0" fontId="0" fillId="0" borderId="0" xfId="0" applyAlignment="1">
      <alignment vertical="center"/>
    </xf>
    <xf numFmtId="0" fontId="49" fillId="67" borderId="0" xfId="0" applyFont="1" applyFill="1" applyAlignment="1">
      <alignment horizontal="center" vertical="center"/>
    </xf>
    <xf numFmtId="0" fontId="49" fillId="68" borderId="0" xfId="0" applyFont="1" applyFill="1" applyAlignment="1">
      <alignment horizontal="center" vertical="center"/>
    </xf>
    <xf numFmtId="9" fontId="0" fillId="0" borderId="0" xfId="0" applyNumberFormat="1" applyAlignment="1">
      <alignment vertical="center"/>
    </xf>
    <xf numFmtId="3" fontId="0" fillId="0" borderId="0" xfId="0" applyNumberFormat="1" applyAlignment="1">
      <alignment vertical="center"/>
    </xf>
    <xf numFmtId="3" fontId="49" fillId="49" borderId="0" xfId="0" applyNumberFormat="1" applyFont="1" applyFill="1" applyAlignment="1">
      <alignment vertical="center"/>
    </xf>
    <xf numFmtId="179" fontId="0" fillId="0" borderId="0" xfId="0" applyNumberFormat="1" applyAlignment="1">
      <alignment vertical="center"/>
    </xf>
    <xf numFmtId="179" fontId="49" fillId="69" borderId="0" xfId="0" applyNumberFormat="1" applyFont="1" applyFill="1" applyAlignment="1">
      <alignment vertical="center"/>
    </xf>
    <xf numFmtId="179" fontId="49" fillId="0" borderId="0" xfId="0" applyNumberFormat="1" applyFont="1" applyAlignment="1">
      <alignment vertical="center"/>
    </xf>
    <xf numFmtId="173" fontId="0" fillId="0" borderId="0" xfId="0" applyNumberFormat="1" applyAlignment="1">
      <alignment vertical="center"/>
    </xf>
    <xf numFmtId="179" fontId="49" fillId="44" borderId="0" xfId="0" applyNumberFormat="1" applyFont="1" applyFill="1" applyAlignment="1">
      <alignment vertical="center"/>
    </xf>
    <xf numFmtId="3" fontId="51" fillId="0" borderId="0" xfId="0" applyNumberFormat="1" applyFont="1" applyAlignment="1">
      <alignment vertical="center"/>
    </xf>
    <xf numFmtId="179" fontId="49" fillId="45" borderId="0" xfId="0" applyNumberFormat="1" applyFont="1" applyFill="1" applyAlignment="1">
      <alignment vertical="center"/>
    </xf>
    <xf numFmtId="178" fontId="0" fillId="0" borderId="0" xfId="0" applyNumberFormat="1" applyAlignment="1">
      <alignment vertical="center"/>
    </xf>
    <xf numFmtId="0" fontId="49" fillId="0" borderId="0" xfId="0" applyFont="1" applyAlignment="1">
      <alignment horizontal="center" vertical="center"/>
    </xf>
    <xf numFmtId="0" fontId="19" fillId="46" borderId="0" xfId="0" applyFont="1" applyFill="1"/>
    <xf numFmtId="2" fontId="0" fillId="0" borderId="0" xfId="0" applyNumberFormat="1"/>
    <xf numFmtId="180" fontId="0" fillId="0" borderId="0" xfId="0" applyNumberFormat="1"/>
    <xf numFmtId="0" fontId="95" fillId="0" borderId="0" xfId="0" applyFont="1"/>
    <xf numFmtId="0" fontId="95" fillId="70" borderId="0" xfId="0" applyFont="1" applyFill="1"/>
    <xf numFmtId="0" fontId="96" fillId="45" borderId="0" xfId="0" applyFont="1" applyFill="1"/>
    <xf numFmtId="0" fontId="97" fillId="44" borderId="0" xfId="1" applyFont="1" applyFill="1"/>
    <xf numFmtId="0" fontId="49" fillId="71" borderId="0" xfId="0" applyFont="1" applyFill="1"/>
    <xf numFmtId="9" fontId="51" fillId="0" borderId="0" xfId="0" applyNumberFormat="1" applyFont="1"/>
    <xf numFmtId="0" fontId="49" fillId="72" borderId="0" xfId="0" applyFont="1" applyFill="1"/>
    <xf numFmtId="3" fontId="0" fillId="72" borderId="0" xfId="0" applyNumberFormat="1" applyFill="1"/>
    <xf numFmtId="173" fontId="0" fillId="72" borderId="0" xfId="0" applyNumberFormat="1" applyFill="1"/>
    <xf numFmtId="173" fontId="49" fillId="72" borderId="0" xfId="0" applyNumberFormat="1" applyFont="1" applyFill="1"/>
    <xf numFmtId="0" fontId="49" fillId="0" borderId="0" xfId="0" quotePrefix="1" applyFont="1"/>
    <xf numFmtId="181" fontId="18" fillId="8" borderId="0" xfId="0" applyNumberFormat="1" applyFont="1" applyFill="1"/>
    <xf numFmtId="0" fontId="98" fillId="49" borderId="0" xfId="0" applyFont="1" applyFill="1"/>
    <xf numFmtId="0" fontId="99" fillId="67" borderId="0" xfId="0" applyFont="1" applyFill="1"/>
    <xf numFmtId="0" fontId="100" fillId="67" borderId="0" xfId="0" applyFont="1" applyFill="1"/>
    <xf numFmtId="0" fontId="49" fillId="67" borderId="39" xfId="0" applyFont="1" applyFill="1" applyBorder="1"/>
    <xf numFmtId="0" fontId="49" fillId="67" borderId="40" xfId="0" applyFont="1" applyFill="1" applyBorder="1"/>
    <xf numFmtId="0" fontId="49" fillId="67" borderId="41" xfId="0" applyFont="1" applyFill="1" applyBorder="1"/>
    <xf numFmtId="0" fontId="0" fillId="0" borderId="42" xfId="0" applyBorder="1"/>
    <xf numFmtId="0" fontId="0" fillId="0" borderId="43" xfId="0" applyBorder="1"/>
    <xf numFmtId="0" fontId="0" fillId="0" borderId="44" xfId="0" applyBorder="1"/>
    <xf numFmtId="0" fontId="0" fillId="0" borderId="45" xfId="0" applyBorder="1"/>
    <xf numFmtId="0" fontId="0" fillId="0" borderId="46" xfId="0" applyBorder="1"/>
    <xf numFmtId="0" fontId="0" fillId="0" borderId="39" xfId="0" applyBorder="1"/>
    <xf numFmtId="0" fontId="49" fillId="67" borderId="42" xfId="0" applyFont="1" applyFill="1" applyBorder="1"/>
    <xf numFmtId="0" fontId="0" fillId="73" borderId="8" xfId="0" applyFill="1" applyBorder="1"/>
    <xf numFmtId="0" fontId="0" fillId="46" borderId="8" xfId="0" applyFill="1" applyBorder="1"/>
    <xf numFmtId="0" fontId="0" fillId="47" borderId="8" xfId="0" applyFill="1" applyBorder="1"/>
    <xf numFmtId="0" fontId="0" fillId="48" borderId="8" xfId="0" applyFill="1" applyBorder="1"/>
    <xf numFmtId="0" fontId="49" fillId="67" borderId="44" xfId="0" applyFont="1" applyFill="1" applyBorder="1"/>
    <xf numFmtId="0" fontId="0" fillId="48" borderId="45" xfId="0" applyFill="1" applyBorder="1"/>
    <xf numFmtId="0" fontId="0" fillId="73" borderId="45" xfId="0" applyFill="1" applyBorder="1"/>
    <xf numFmtId="0" fontId="0" fillId="48" borderId="46" xfId="0" applyFill="1" applyBorder="1"/>
    <xf numFmtId="0" fontId="91" fillId="74" borderId="0" xfId="0" applyFont="1" applyFill="1"/>
    <xf numFmtId="0" fontId="49" fillId="75" borderId="0" xfId="0" applyFont="1" applyFill="1"/>
    <xf numFmtId="3" fontId="49" fillId="45" borderId="0" xfId="0" applyNumberFormat="1" applyFont="1" applyFill="1"/>
    <xf numFmtId="3" fontId="49" fillId="44" borderId="0" xfId="0" applyNumberFormat="1" applyFont="1" applyFill="1"/>
    <xf numFmtId="0" fontId="101" fillId="76" borderId="0" xfId="0" applyFont="1" applyFill="1"/>
    <xf numFmtId="0" fontId="46" fillId="77" borderId="0" xfId="0" applyFont="1" applyFill="1"/>
    <xf numFmtId="0" fontId="102" fillId="0" borderId="0" xfId="0" applyFont="1"/>
    <xf numFmtId="0" fontId="49" fillId="78" borderId="0" xfId="0" applyFont="1" applyFill="1"/>
    <xf numFmtId="0" fontId="103" fillId="0" borderId="0" xfId="0" applyFont="1"/>
    <xf numFmtId="0" fontId="104" fillId="0" borderId="0" xfId="0" applyFont="1"/>
    <xf numFmtId="0" fontId="105" fillId="0" borderId="0" xfId="0" applyFont="1"/>
    <xf numFmtId="0" fontId="57" fillId="0" borderId="0" xfId="0" applyFont="1"/>
    <xf numFmtId="0" fontId="87" fillId="0" borderId="0" xfId="0" applyFont="1"/>
    <xf numFmtId="0" fontId="106" fillId="0" borderId="0" xfId="0" applyFont="1"/>
    <xf numFmtId="0" fontId="56" fillId="0" borderId="0" xfId="0" applyFont="1"/>
    <xf numFmtId="0" fontId="58" fillId="0" borderId="0" xfId="0" applyFont="1"/>
    <xf numFmtId="0" fontId="49" fillId="43" borderId="0" xfId="0" applyFont="1" applyFill="1"/>
    <xf numFmtId="0" fontId="107" fillId="0" borderId="0" xfId="0" applyFont="1"/>
    <xf numFmtId="0" fontId="49" fillId="79" borderId="0" xfId="0" applyFont="1" applyFill="1"/>
    <xf numFmtId="0" fontId="108" fillId="0" borderId="0" xfId="0" applyFont="1"/>
    <xf numFmtId="0" fontId="49" fillId="80" borderId="0" xfId="0" applyFont="1" applyFill="1"/>
    <xf numFmtId="0" fontId="109" fillId="0" borderId="0" xfId="0" applyFont="1"/>
    <xf numFmtId="0" fontId="110" fillId="0" borderId="0" xfId="0" applyFont="1"/>
    <xf numFmtId="0" fontId="81" fillId="70" borderId="0" xfId="0" applyFont="1" applyFill="1"/>
    <xf numFmtId="0" fontId="80" fillId="76" borderId="0" xfId="0" applyFont="1" applyFill="1" applyAlignment="1">
      <alignment horizontal="center"/>
    </xf>
    <xf numFmtId="0" fontId="7" fillId="3" borderId="0" xfId="0" applyFont="1" applyFill="1" applyAlignment="1">
      <alignment horizontal="left" vertical="center"/>
    </xf>
    <xf numFmtId="0" fontId="13" fillId="6" borderId="0" xfId="0" applyFont="1" applyFill="1" applyAlignment="1">
      <alignment horizontal="center" vertical="center"/>
    </xf>
    <xf numFmtId="0" fontId="2" fillId="2" borderId="0" xfId="0" applyFont="1" applyFill="1" applyAlignment="1">
      <alignment horizontal="left" vertical="center"/>
    </xf>
    <xf numFmtId="0" fontId="3" fillId="0" borderId="0" xfId="0" applyFont="1" applyAlignment="1">
      <alignment horizontal="left" vertical="center"/>
    </xf>
    <xf numFmtId="0" fontId="30" fillId="22" borderId="8" xfId="1" applyFont="1" applyFill="1" applyBorder="1"/>
    <xf numFmtId="0" fontId="1" fillId="0" borderId="8" xfId="1" applyBorder="1" applyAlignment="1">
      <alignment vertical="top" wrapText="1"/>
    </xf>
    <xf numFmtId="0" fontId="37" fillId="25" borderId="0" xfId="1" applyFont="1" applyFill="1"/>
    <xf numFmtId="0" fontId="36" fillId="24" borderId="0" xfId="1" applyFont="1" applyFill="1" applyAlignment="1">
      <alignment horizontal="center"/>
    </xf>
    <xf numFmtId="0" fontId="30" fillId="22" borderId="0" xfId="1" applyFont="1" applyFill="1"/>
    <xf numFmtId="0" fontId="1" fillId="0" borderId="0" xfId="1" applyAlignment="1">
      <alignment wrapText="1"/>
    </xf>
    <xf numFmtId="0" fontId="39" fillId="24" borderId="0" xfId="1" applyFont="1" applyFill="1" applyAlignment="1">
      <alignment horizontal="center"/>
    </xf>
    <xf numFmtId="0" fontId="39" fillId="24" borderId="0" xfId="1" applyFont="1" applyFill="1" applyAlignment="1">
      <alignment horizontal="center" vertical="top" wrapText="1"/>
    </xf>
    <xf numFmtId="0" fontId="30" fillId="26" borderId="8" xfId="1" applyFont="1" applyFill="1" applyBorder="1" applyAlignment="1">
      <alignment vertical="top" wrapText="1"/>
    </xf>
    <xf numFmtId="0" fontId="38" fillId="0" borderId="8" xfId="1" applyFont="1" applyBorder="1" applyAlignment="1">
      <alignment vertical="top" wrapText="1"/>
    </xf>
    <xf numFmtId="0" fontId="30" fillId="22" borderId="8" xfId="1" applyFont="1" applyFill="1" applyBorder="1" applyAlignment="1">
      <alignment vertical="top" wrapText="1"/>
    </xf>
    <xf numFmtId="0" fontId="1" fillId="22" borderId="8" xfId="1" applyFill="1" applyBorder="1" applyAlignment="1">
      <alignment vertical="top" wrapText="1"/>
    </xf>
    <xf numFmtId="0" fontId="1" fillId="0" borderId="8" xfId="1" applyBorder="1"/>
    <xf numFmtId="0" fontId="1" fillId="0" borderId="8" xfId="1" applyBorder="1" applyAlignment="1">
      <alignment wrapText="1"/>
    </xf>
    <xf numFmtId="0" fontId="30" fillId="18" borderId="8" xfId="1" applyFont="1" applyFill="1" applyBorder="1"/>
    <xf numFmtId="0" fontId="30" fillId="22" borderId="7" xfId="1" applyFont="1" applyFill="1" applyBorder="1" applyAlignment="1">
      <alignment horizontal="center" vertical="top" wrapText="1"/>
    </xf>
    <xf numFmtId="0" fontId="30" fillId="22" borderId="11" xfId="1" applyFont="1" applyFill="1" applyBorder="1" applyAlignment="1">
      <alignment horizontal="center" vertical="top" wrapText="1"/>
    </xf>
    <xf numFmtId="0" fontId="34" fillId="0" borderId="0" xfId="1" applyFont="1"/>
    <xf numFmtId="0" fontId="30" fillId="22" borderId="11" xfId="1" applyFont="1" applyFill="1" applyBorder="1" applyAlignment="1">
      <alignment vertical="top" wrapText="1"/>
    </xf>
    <xf numFmtId="0" fontId="30" fillId="22" borderId="6" xfId="1" applyFont="1" applyFill="1" applyBorder="1" applyAlignment="1">
      <alignment vertical="top" wrapText="1"/>
    </xf>
    <xf numFmtId="0" fontId="30" fillId="26" borderId="10" xfId="1" applyFont="1" applyFill="1" applyBorder="1" applyAlignment="1">
      <alignment vertical="top" wrapText="1"/>
    </xf>
    <xf numFmtId="0" fontId="1" fillId="0" borderId="10" xfId="1" applyBorder="1" applyAlignment="1">
      <alignment vertical="top" wrapText="1"/>
    </xf>
    <xf numFmtId="0" fontId="1" fillId="0" borderId="4" xfId="1" applyBorder="1" applyAlignment="1">
      <alignment vertical="top" wrapText="1"/>
    </xf>
    <xf numFmtId="0" fontId="1" fillId="0" borderId="9" xfId="1" applyBorder="1" applyAlignment="1">
      <alignment vertical="top" wrapText="1"/>
    </xf>
    <xf numFmtId="0" fontId="1" fillId="0" borderId="2" xfId="1" applyBorder="1" applyAlignment="1">
      <alignment vertical="top" wrapText="1"/>
    </xf>
    <xf numFmtId="0" fontId="36" fillId="24" borderId="0" xfId="1" applyFont="1" applyFill="1" applyAlignment="1">
      <alignment horizontal="center" vertical="center" wrapText="1"/>
    </xf>
    <xf numFmtId="0" fontId="30" fillId="0" borderId="0" xfId="1" applyFont="1" applyAlignment="1">
      <alignment vertical="center" wrapText="1"/>
    </xf>
    <xf numFmtId="0" fontId="42" fillId="22" borderId="0" xfId="1" applyFont="1" applyFill="1" applyAlignment="1">
      <alignment vertical="center" wrapText="1"/>
    </xf>
    <xf numFmtId="0" fontId="1" fillId="0" borderId="0" xfId="1" applyAlignment="1">
      <alignment vertical="center" wrapText="1"/>
    </xf>
    <xf numFmtId="0" fontId="41" fillId="28" borderId="13" xfId="1" applyFont="1" applyFill="1" applyBorder="1" applyAlignment="1">
      <alignment horizontal="center" vertical="center" wrapText="1"/>
    </xf>
    <xf numFmtId="0" fontId="41" fillId="28" borderId="12" xfId="1" applyFont="1" applyFill="1" applyBorder="1" applyAlignment="1">
      <alignment horizontal="center" vertical="center" wrapText="1"/>
    </xf>
    <xf numFmtId="0" fontId="41" fillId="25" borderId="13" xfId="1" applyFont="1" applyFill="1" applyBorder="1" applyAlignment="1">
      <alignment horizontal="center" vertical="center" wrapText="1"/>
    </xf>
    <xf numFmtId="0" fontId="41" fillId="25" borderId="12" xfId="1" applyFont="1" applyFill="1" applyBorder="1" applyAlignment="1">
      <alignment horizontal="center" vertical="center" wrapText="1"/>
    </xf>
    <xf numFmtId="0" fontId="41" fillId="24" borderId="13" xfId="1" applyFont="1" applyFill="1" applyBorder="1" applyAlignment="1">
      <alignment horizontal="center" vertical="center" wrapText="1"/>
    </xf>
    <xf numFmtId="0" fontId="41" fillId="24" borderId="14" xfId="1" applyFont="1" applyFill="1" applyBorder="1" applyAlignment="1">
      <alignment horizontal="center" vertical="center" wrapText="1"/>
    </xf>
    <xf numFmtId="0" fontId="41" fillId="24" borderId="12" xfId="1" applyFont="1" applyFill="1" applyBorder="1" applyAlignment="1">
      <alignment horizontal="center" vertical="center" wrapText="1"/>
    </xf>
    <xf numFmtId="0" fontId="30" fillId="20" borderId="16" xfId="1" applyFont="1" applyFill="1" applyBorder="1" applyAlignment="1">
      <alignment horizontal="center" vertical="center" wrapText="1"/>
    </xf>
    <xf numFmtId="0" fontId="30" fillId="20" borderId="17" xfId="1" applyFont="1" applyFill="1" applyBorder="1" applyAlignment="1">
      <alignment horizontal="center" vertical="center" wrapText="1"/>
    </xf>
    <xf numFmtId="0" fontId="30" fillId="20" borderId="15" xfId="1" applyFont="1" applyFill="1" applyBorder="1" applyAlignment="1">
      <alignment horizontal="center" vertical="center" wrapText="1"/>
    </xf>
    <xf numFmtId="0" fontId="30" fillId="20" borderId="13" xfId="1" applyFont="1" applyFill="1" applyBorder="1" applyAlignment="1">
      <alignment horizontal="center" vertical="center" wrapText="1"/>
    </xf>
    <xf numFmtId="0" fontId="30" fillId="20" borderId="14" xfId="1" applyFont="1" applyFill="1" applyBorder="1" applyAlignment="1">
      <alignment horizontal="center" vertical="center" wrapText="1"/>
    </xf>
    <xf numFmtId="0" fontId="30" fillId="20" borderId="12" xfId="1" applyFont="1" applyFill="1" applyBorder="1" applyAlignment="1">
      <alignment horizontal="center" vertical="center" wrapText="1"/>
    </xf>
    <xf numFmtId="0" fontId="30" fillId="22" borderId="11" xfId="1" applyFont="1" applyFill="1" applyBorder="1" applyAlignment="1">
      <alignment vertical="center" wrapText="1"/>
    </xf>
    <xf numFmtId="0" fontId="30" fillId="22" borderId="6" xfId="1" applyFont="1" applyFill="1" applyBorder="1" applyAlignment="1">
      <alignment vertical="center" wrapText="1"/>
    </xf>
    <xf numFmtId="0" fontId="1" fillId="0" borderId="5" xfId="1" applyBorder="1" applyAlignment="1">
      <alignment vertical="center" wrapText="1"/>
    </xf>
    <xf numFmtId="0" fontId="1" fillId="0" borderId="10" xfId="1" applyBorder="1" applyAlignment="1">
      <alignment vertical="center" wrapText="1"/>
    </xf>
    <xf numFmtId="0" fontId="1" fillId="0" borderId="4" xfId="1" applyBorder="1" applyAlignment="1">
      <alignment vertical="center" wrapText="1"/>
    </xf>
    <xf numFmtId="0" fontId="30" fillId="22" borderId="7" xfId="1" applyFont="1" applyFill="1" applyBorder="1" applyAlignment="1">
      <alignment vertical="center" wrapText="1"/>
    </xf>
    <xf numFmtId="0" fontId="1" fillId="0" borderId="3" xfId="1" applyBorder="1" applyAlignment="1">
      <alignment vertical="center" wrapText="1"/>
    </xf>
    <xf numFmtId="0" fontId="1" fillId="0" borderId="9" xfId="1" applyBorder="1" applyAlignment="1">
      <alignment vertical="center" wrapText="1"/>
    </xf>
    <xf numFmtId="0" fontId="1" fillId="0" borderId="2" xfId="1" applyBorder="1" applyAlignment="1">
      <alignment vertical="center" wrapText="1"/>
    </xf>
    <xf numFmtId="0" fontId="30" fillId="22" borderId="7" xfId="1" applyFont="1" applyFill="1" applyBorder="1" applyAlignment="1">
      <alignment horizontal="center" vertical="center" wrapText="1"/>
    </xf>
    <xf numFmtId="0" fontId="30" fillId="22" borderId="11" xfId="1" applyFont="1" applyFill="1" applyBorder="1" applyAlignment="1">
      <alignment horizontal="center" vertical="center" wrapText="1"/>
    </xf>
    <xf numFmtId="0" fontId="30" fillId="22" borderId="6" xfId="1" applyFont="1" applyFill="1" applyBorder="1" applyAlignment="1">
      <alignment horizontal="center" vertical="center" wrapText="1"/>
    </xf>
    <xf numFmtId="0" fontId="35" fillId="25" borderId="0" xfId="1" applyFont="1" applyFill="1" applyAlignment="1">
      <alignment horizontal="center"/>
    </xf>
    <xf numFmtId="0" fontId="20" fillId="0" borderId="0" xfId="0" applyFont="1"/>
    <xf numFmtId="0" fontId="70" fillId="0" borderId="1" xfId="0" applyFont="1" applyBorder="1" applyAlignment="1">
      <alignment wrapText="1"/>
    </xf>
    <xf numFmtId="0" fontId="44" fillId="0" borderId="23" xfId="2" applyBorder="1" applyAlignment="1"/>
    <xf numFmtId="0" fontId="70" fillId="0" borderId="24" xfId="0" applyFont="1" applyBorder="1" applyAlignment="1">
      <alignment wrapText="1"/>
    </xf>
    <xf numFmtId="0" fontId="44" fillId="0" borderId="25" xfId="2" applyBorder="1" applyAlignment="1"/>
    <xf numFmtId="0" fontId="0" fillId="0" borderId="0" xfId="0"/>
    <xf numFmtId="0" fontId="22" fillId="6" borderId="0" xfId="0" applyFont="1" applyFill="1" applyAlignment="1">
      <alignment horizontal="left" vertical="center"/>
    </xf>
    <xf numFmtId="0" fontId="11" fillId="0" borderId="0" xfId="0" applyFont="1"/>
    <xf numFmtId="0" fontId="91" fillId="66" borderId="0" xfId="0" applyFont="1" applyFill="1" applyAlignment="1">
      <alignment horizontal="center"/>
    </xf>
    <xf numFmtId="0" fontId="80" fillId="61" borderId="0" xfId="0" applyFont="1" applyFill="1" applyAlignment="1">
      <alignment horizontal="center"/>
    </xf>
    <xf numFmtId="0" fontId="7" fillId="3" borderId="20" xfId="0" applyFont="1" applyFill="1" applyBorder="1" applyAlignment="1">
      <alignment horizontal="left" vertical="center"/>
    </xf>
    <xf numFmtId="0" fontId="0" fillId="0" borderId="21" xfId="0" applyBorder="1"/>
    <xf numFmtId="0" fontId="46" fillId="33" borderId="0" xfId="0" applyFont="1" applyFill="1"/>
    <xf numFmtId="0" fontId="112" fillId="0" borderId="0" xfId="0" applyFont="1"/>
    <xf numFmtId="0" fontId="0" fillId="0" borderId="0" xfId="0" applyAlignment="1">
      <alignment vertical="top" wrapText="1"/>
    </xf>
    <xf numFmtId="0" fontId="113" fillId="0" borderId="0" xfId="0" applyFont="1"/>
    <xf numFmtId="0" fontId="0" fillId="0" borderId="0" xfId="0" applyAlignment="1">
      <alignment horizontal="center"/>
    </xf>
    <xf numFmtId="0" fontId="0" fillId="0" borderId="0" xfId="0" applyAlignment="1">
      <alignment vertical="top"/>
    </xf>
    <xf numFmtId="0" fontId="49" fillId="0" borderId="0" xfId="0" applyFont="1" applyAlignment="1">
      <alignment vertical="top"/>
    </xf>
    <xf numFmtId="0" fontId="76" fillId="76" borderId="0" xfId="0" applyFont="1" applyFill="1"/>
    <xf numFmtId="0" fontId="115" fillId="0" borderId="0" xfId="0" applyFont="1"/>
    <xf numFmtId="0" fontId="80" fillId="58" borderId="0" xfId="0" applyFont="1" applyFill="1" applyAlignment="1">
      <alignment horizontal="center"/>
    </xf>
    <xf numFmtId="0" fontId="82" fillId="0" borderId="0" xfId="0" applyFont="1" applyAlignment="1">
      <alignment wrapText="1"/>
    </xf>
    <xf numFmtId="0" fontId="116" fillId="54" borderId="0" xfId="0" applyFont="1" applyFill="1"/>
    <xf numFmtId="0" fontId="46" fillId="33" borderId="0" xfId="0" applyFont="1" applyFill="1" applyAlignment="1">
      <alignment horizontal="center"/>
    </xf>
    <xf numFmtId="0" fontId="51" fillId="47" borderId="0" xfId="0" applyFont="1" applyFill="1"/>
    <xf numFmtId="0" fontId="118" fillId="0" borderId="0" xfId="0" applyFont="1"/>
    <xf numFmtId="182" fontId="51" fillId="0" borderId="0" xfId="0" applyNumberFormat="1" applyFont="1"/>
    <xf numFmtId="182" fontId="0" fillId="0" borderId="0" xfId="0" applyNumberFormat="1"/>
    <xf numFmtId="182" fontId="117" fillId="0" borderId="0" xfId="0" applyNumberFormat="1" applyFont="1"/>
    <xf numFmtId="182" fontId="81" fillId="0" borderId="0" xfId="0" applyNumberFormat="1" applyFont="1"/>
    <xf numFmtId="182" fontId="51" fillId="47" borderId="0" xfId="0" applyNumberFormat="1" applyFont="1" applyFill="1"/>
    <xf numFmtId="182" fontId="118" fillId="0" borderId="0" xfId="0" applyNumberFormat="1" applyFont="1"/>
    <xf numFmtId="182" fontId="49" fillId="0" borderId="0" xfId="0" applyNumberFormat="1" applyFont="1"/>
    <xf numFmtId="182" fontId="49" fillId="81" borderId="0" xfId="0" applyNumberFormat="1" applyFont="1" applyFill="1"/>
    <xf numFmtId="0" fontId="49" fillId="81" borderId="0" xfId="0" applyFont="1" applyFill="1"/>
    <xf numFmtId="173" fontId="51" fillId="47" borderId="0" xfId="0" applyNumberFormat="1" applyFont="1" applyFill="1"/>
    <xf numFmtId="2" fontId="51" fillId="47" borderId="0" xfId="0" applyNumberFormat="1" applyFont="1" applyFill="1"/>
    <xf numFmtId="173" fontId="49" fillId="81" borderId="0" xfId="0" applyNumberFormat="1" applyFont="1" applyFill="1"/>
    <xf numFmtId="0" fontId="78" fillId="47" borderId="0" xfId="0" applyFont="1" applyFill="1"/>
    <xf numFmtId="173" fontId="118" fillId="0" borderId="0" xfId="0" applyNumberFormat="1" applyFont="1"/>
    <xf numFmtId="175" fontId="51" fillId="47" borderId="0" xfId="0" applyNumberFormat="1" applyFont="1" applyFill="1"/>
    <xf numFmtId="181" fontId="0" fillId="0" borderId="0" xfId="0" applyNumberFormat="1"/>
    <xf numFmtId="183" fontId="46" fillId="33" borderId="0" xfId="0" applyNumberFormat="1" applyFont="1" applyFill="1" applyAlignment="1">
      <alignment horizontal="center"/>
    </xf>
    <xf numFmtId="173" fontId="46" fillId="33" borderId="0" xfId="0" applyNumberFormat="1" applyFont="1" applyFill="1"/>
    <xf numFmtId="182" fontId="49" fillId="83" borderId="0" xfId="0" applyNumberFormat="1" applyFont="1" applyFill="1"/>
    <xf numFmtId="182" fontId="49" fillId="45" borderId="0" xfId="0" applyNumberFormat="1" applyFont="1" applyFill="1"/>
    <xf numFmtId="182" fontId="46" fillId="33" borderId="0" xfId="0" applyNumberFormat="1" applyFont="1" applyFill="1" applyAlignment="1">
      <alignment horizontal="center"/>
    </xf>
    <xf numFmtId="182" fontId="46" fillId="33" borderId="0" xfId="0" applyNumberFormat="1" applyFont="1" applyFill="1"/>
    <xf numFmtId="182" fontId="49" fillId="34" borderId="0" xfId="0" applyNumberFormat="1" applyFont="1" applyFill="1"/>
    <xf numFmtId="0" fontId="95" fillId="0" borderId="0" xfId="0" applyFont="1" applyAlignment="1">
      <alignment wrapText="1"/>
    </xf>
    <xf numFmtId="0" fontId="49" fillId="85" borderId="0" xfId="0" applyFont="1" applyFill="1"/>
    <xf numFmtId="0" fontId="99" fillId="0" borderId="0" xfId="0" applyFont="1"/>
    <xf numFmtId="0" fontId="99" fillId="49" borderId="0" xfId="0" applyFont="1" applyFill="1"/>
    <xf numFmtId="0" fontId="99" fillId="86" borderId="0" xfId="0" applyFont="1" applyFill="1"/>
    <xf numFmtId="3" fontId="49" fillId="0" borderId="0" xfId="0" applyNumberFormat="1" applyFont="1"/>
    <xf numFmtId="3" fontId="51" fillId="47" borderId="0" xfId="0" applyNumberFormat="1" applyFont="1" applyFill="1"/>
    <xf numFmtId="1" fontId="51" fillId="47" borderId="0" xfId="0" applyNumberFormat="1" applyFont="1" applyFill="1"/>
    <xf numFmtId="0" fontId="49" fillId="82" borderId="0" xfId="0" applyFont="1" applyFill="1"/>
    <xf numFmtId="173" fontId="81" fillId="0" borderId="0" xfId="0" applyNumberFormat="1" applyFont="1"/>
    <xf numFmtId="9" fontId="49" fillId="0" borderId="0" xfId="0" applyNumberFormat="1" applyFont="1" applyAlignment="1">
      <alignment horizontal="center"/>
    </xf>
    <xf numFmtId="173" fontId="49" fillId="34" borderId="0" xfId="0" applyNumberFormat="1" applyFont="1" applyFill="1" applyAlignment="1">
      <alignment horizontal="center"/>
    </xf>
    <xf numFmtId="0" fontId="119" fillId="45" borderId="0" xfId="0" applyFont="1" applyFill="1"/>
    <xf numFmtId="0" fontId="120" fillId="54" borderId="0" xfId="0" applyFont="1" applyFill="1"/>
    <xf numFmtId="0" fontId="0" fillId="33" borderId="0" xfId="0" applyFill="1"/>
    <xf numFmtId="0" fontId="49" fillId="45" borderId="0" xfId="0" applyFont="1" applyFill="1" applyAlignment="1">
      <alignment horizontal="center"/>
    </xf>
    <xf numFmtId="1" fontId="117" fillId="0" borderId="0" xfId="0" applyNumberFormat="1" applyFont="1"/>
    <xf numFmtId="1" fontId="114" fillId="81" borderId="0" xfId="0" applyNumberFormat="1" applyFont="1" applyFill="1"/>
    <xf numFmtId="1" fontId="114" fillId="83" borderId="0" xfId="0" applyNumberFormat="1" applyFont="1" applyFill="1"/>
    <xf numFmtId="0" fontId="121" fillId="0" borderId="0" xfId="0" applyFont="1"/>
    <xf numFmtId="0" fontId="122" fillId="0" borderId="0" xfId="0" applyFont="1"/>
    <xf numFmtId="0" fontId="98" fillId="0" borderId="0" xfId="0" applyFont="1"/>
    <xf numFmtId="0" fontId="46" fillId="54" borderId="0" xfId="0" applyFont="1" applyFill="1"/>
    <xf numFmtId="0" fontId="46" fillId="33" borderId="0" xfId="0" applyFont="1" applyFill="1" applyAlignment="1">
      <alignment vertical="center"/>
    </xf>
    <xf numFmtId="3" fontId="0" fillId="0" borderId="0" xfId="0" applyNumberFormat="1" applyAlignment="1">
      <alignment vertical="top"/>
    </xf>
    <xf numFmtId="9" fontId="51" fillId="47" borderId="0" xfId="0" applyNumberFormat="1" applyFont="1" applyFill="1"/>
    <xf numFmtId="3" fontId="112" fillId="0" borderId="0" xfId="0" applyNumberFormat="1" applyFont="1"/>
    <xf numFmtId="0" fontId="118" fillId="0" borderId="0" xfId="0" applyFont="1" applyAlignment="1">
      <alignment wrapText="1"/>
    </xf>
    <xf numFmtId="0" fontId="46" fillId="33" borderId="0" xfId="0" applyFont="1" applyFill="1" applyAlignment="1">
      <alignment wrapText="1"/>
    </xf>
    <xf numFmtId="0" fontId="46" fillId="54" borderId="0" xfId="0" applyFont="1" applyFill="1" applyAlignment="1">
      <alignment vertical="top" wrapText="1"/>
    </xf>
    <xf numFmtId="0" fontId="82" fillId="0" borderId="0" xfId="0" applyFont="1" applyAlignment="1">
      <alignment vertical="top" wrapText="1"/>
    </xf>
    <xf numFmtId="0" fontId="0" fillId="47" borderId="0" xfId="0" applyFill="1" applyAlignment="1">
      <alignment vertical="top" wrapText="1"/>
    </xf>
    <xf numFmtId="0" fontId="49" fillId="47" borderId="0" xfId="0" applyFont="1" applyFill="1" applyAlignment="1">
      <alignment vertical="top" wrapText="1"/>
    </xf>
    <xf numFmtId="0" fontId="78" fillId="47" borderId="0" xfId="0" applyFont="1" applyFill="1" applyAlignment="1">
      <alignment vertical="top" wrapText="1"/>
    </xf>
    <xf numFmtId="0" fontId="49" fillId="45" borderId="0" xfId="0" applyFont="1" applyFill="1" applyAlignment="1">
      <alignment vertical="top" wrapText="1"/>
    </xf>
    <xf numFmtId="0" fontId="118" fillId="0" borderId="0" xfId="0" applyFont="1" applyAlignment="1">
      <alignment vertical="top" wrapText="1"/>
    </xf>
    <xf numFmtId="0" fontId="46" fillId="84" borderId="0" xfId="0" applyFont="1" applyFill="1" applyAlignment="1">
      <alignment vertical="top" wrapText="1"/>
    </xf>
    <xf numFmtId="0" fontId="81" fillId="0" borderId="0" xfId="0" applyFont="1" applyAlignment="1">
      <alignment vertical="top" wrapText="1"/>
    </xf>
    <xf numFmtId="0" fontId="46" fillId="33" borderId="0" xfId="0" applyFont="1" applyFill="1" applyAlignment="1">
      <alignment vertical="top" wrapText="1"/>
    </xf>
    <xf numFmtId="3" fontId="49" fillId="81" borderId="0" xfId="0" applyNumberFormat="1" applyFont="1" applyFill="1"/>
    <xf numFmtId="3" fontId="115" fillId="81" borderId="0" xfId="0" applyNumberFormat="1" applyFont="1" applyFill="1"/>
    <xf numFmtId="0" fontId="115" fillId="81" borderId="0" xfId="0" applyFont="1" applyFill="1"/>
    <xf numFmtId="0" fontId="111" fillId="83" borderId="0" xfId="0" applyFont="1" applyFill="1"/>
    <xf numFmtId="0" fontId="123" fillId="0" borderId="0" xfId="0" applyFont="1"/>
    <xf numFmtId="184" fontId="0" fillId="0" borderId="0" xfId="0" applyNumberFormat="1"/>
    <xf numFmtId="9" fontId="51" fillId="47" borderId="0" xfId="0" applyNumberFormat="1" applyFont="1" applyFill="1" applyAlignment="1">
      <alignment vertical="top"/>
    </xf>
    <xf numFmtId="184" fontId="0" fillId="0" borderId="0" xfId="0" applyNumberFormat="1" applyAlignment="1">
      <alignment vertical="top"/>
    </xf>
    <xf numFmtId="3" fontId="49" fillId="0" borderId="0" xfId="0" applyNumberFormat="1" applyFont="1" applyAlignment="1">
      <alignment vertical="top"/>
    </xf>
    <xf numFmtId="0" fontId="78" fillId="0" borderId="0" xfId="0" applyFont="1" applyAlignment="1">
      <alignment vertical="top"/>
    </xf>
    <xf numFmtId="0" fontId="124" fillId="54" borderId="0" xfId="0" applyFont="1" applyFill="1"/>
    <xf numFmtId="0" fontId="125" fillId="33" borderId="0" xfId="0" applyFont="1" applyFill="1" applyAlignment="1">
      <alignment horizontal="center"/>
    </xf>
    <xf numFmtId="179" fontId="112" fillId="0" borderId="0" xfId="0" applyNumberFormat="1" applyFont="1"/>
    <xf numFmtId="179" fontId="49" fillId="81" borderId="0" xfId="0" applyNumberFormat="1" applyFont="1" applyFill="1"/>
    <xf numFmtId="172" fontId="0" fillId="0" borderId="0" xfId="0" applyNumberFormat="1"/>
    <xf numFmtId="184" fontId="49" fillId="0" borderId="0" xfId="0" applyNumberFormat="1" applyFont="1"/>
    <xf numFmtId="185" fontId="46" fillId="33" borderId="0" xfId="0" applyNumberFormat="1" applyFont="1" applyFill="1" applyAlignment="1">
      <alignment horizontal="center"/>
    </xf>
    <xf numFmtId="3" fontId="46" fillId="33" borderId="0" xfId="0" applyNumberFormat="1" applyFont="1" applyFill="1"/>
    <xf numFmtId="3" fontId="46" fillId="54" borderId="0" xfId="0" applyNumberFormat="1" applyFont="1" applyFill="1"/>
    <xf numFmtId="3" fontId="49" fillId="72" borderId="0" xfId="0" applyNumberFormat="1" applyFont="1" applyFill="1"/>
    <xf numFmtId="0" fontId="128" fillId="0" borderId="0" xfId="0" applyFont="1"/>
    <xf numFmtId="0" fontId="128" fillId="0" borderId="0" xfId="0" applyFont="1" applyAlignment="1">
      <alignment wrapText="1"/>
    </xf>
    <xf numFmtId="0" fontId="129" fillId="0" borderId="0" xfId="2" applyFont="1"/>
    <xf numFmtId="0" fontId="130" fillId="0" borderId="0" xfId="0" applyFont="1"/>
    <xf numFmtId="0" fontId="131" fillId="33" borderId="0" xfId="0" applyFont="1" applyFill="1"/>
    <xf numFmtId="0" fontId="132" fillId="0" borderId="0" xfId="0" applyFont="1"/>
    <xf numFmtId="0" fontId="76" fillId="76" borderId="0" xfId="0" applyFont="1" applyFill="1" applyAlignment="1">
      <alignment horizontal="center"/>
    </xf>
    <xf numFmtId="0" fontId="133" fillId="0" borderId="0" xfId="0" applyFont="1" applyAlignment="1">
      <alignment vertical="top"/>
    </xf>
    <xf numFmtId="0" fontId="130" fillId="0" borderId="0" xfId="0" applyFont="1" applyAlignment="1">
      <alignment vertical="top"/>
    </xf>
    <xf numFmtId="0" fontId="134" fillId="0" borderId="0" xfId="0" applyFont="1" applyAlignment="1">
      <alignment vertical="top" wrapText="1"/>
    </xf>
    <xf numFmtId="0" fontId="135" fillId="76" borderId="0" xfId="0" applyFont="1" applyFill="1"/>
    <xf numFmtId="0" fontId="136" fillId="0" borderId="0" xfId="0" applyFont="1"/>
    <xf numFmtId="0" fontId="46" fillId="87" borderId="0" xfId="0" applyFont="1" applyFill="1"/>
    <xf numFmtId="0" fontId="49" fillId="88" borderId="0" xfId="0" applyFont="1" applyFill="1"/>
    <xf numFmtId="0" fontId="0" fillId="88" borderId="0" xfId="0" applyFill="1"/>
    <xf numFmtId="0" fontId="137" fillId="0" borderId="0" xfId="0" applyFont="1"/>
  </cellXfs>
  <cellStyles count="3">
    <cellStyle name="Hyperlink" xfId="2" builtinId="8"/>
    <cellStyle name="Normal" xfId="0" builtinId="0"/>
    <cellStyle name="Normal 2" xfId="1" xr:uid="{7B3AD9DC-F79D-4AF7-901B-DB88F0C8D6EA}"/>
  </cellStyles>
  <dxfs count="17">
    <dxf>
      <font>
        <b/>
        <i val="0"/>
        <color rgb="FF9C0006"/>
      </font>
      <fill>
        <patternFill patternType="solid">
          <fgColor indexed="64"/>
          <bgColor rgb="FFFFC7CE"/>
        </patternFill>
      </fill>
    </dxf>
    <dxf>
      <font>
        <b/>
        <i val="0"/>
        <color rgb="FF0F5132"/>
      </font>
      <fill>
        <patternFill patternType="solid">
          <fgColor indexed="64"/>
          <bgColor rgb="FFC6EFCE"/>
        </patternFill>
      </fill>
    </dxf>
    <dxf>
      <font>
        <color rgb="FFB26A00"/>
      </font>
      <fill>
        <patternFill patternType="solid">
          <fgColor indexed="64"/>
          <bgColor rgb="FFFFF3CD"/>
        </patternFill>
      </fill>
    </dxf>
    <dxf>
      <font>
        <color rgb="FFC62828"/>
      </font>
      <fill>
        <patternFill patternType="solid">
          <fgColor indexed="64"/>
          <bgColor rgb="FFF8D7DA"/>
        </patternFill>
      </fill>
    </dxf>
    <dxf>
      <font>
        <color rgb="FFB26A00"/>
      </font>
      <fill>
        <patternFill patternType="solid">
          <fgColor indexed="64"/>
          <bgColor rgb="FFFFF3CD"/>
        </patternFill>
      </fill>
    </dxf>
    <dxf>
      <font>
        <color rgb="FF0F5132"/>
      </font>
      <fill>
        <patternFill patternType="solid">
          <fgColor indexed="64"/>
          <bgColor rgb="FFD1E7DD"/>
        </patternFill>
      </fill>
    </dxf>
    <dxf>
      <font>
        <color rgb="FFB26A00"/>
      </font>
      <fill>
        <patternFill patternType="solid">
          <fgColor indexed="64"/>
          <bgColor rgb="FFFFF3CD"/>
        </patternFill>
      </fill>
    </dxf>
    <dxf>
      <font>
        <color rgb="FFFFFFFF"/>
      </font>
      <fill>
        <patternFill patternType="solid">
          <fgColor indexed="64"/>
          <bgColor rgb="FFE8923A"/>
        </patternFill>
      </fill>
    </dxf>
    <dxf>
      <font>
        <color rgb="FFFFFFFF"/>
      </font>
      <fill>
        <patternFill patternType="solid">
          <fgColor indexed="64"/>
          <bgColor rgb="FFC62828"/>
        </patternFill>
      </fill>
    </dxf>
    <dxf>
      <font>
        <color rgb="FFC62828"/>
      </font>
      <fill>
        <patternFill patternType="solid">
          <fgColor indexed="64"/>
          <bgColor rgb="FFF8D7DA"/>
        </patternFill>
      </fill>
    </dxf>
    <dxf>
      <font>
        <color rgb="FFB25000"/>
      </font>
      <fill>
        <patternFill patternType="solid">
          <fgColor indexed="64"/>
          <bgColor rgb="FFFCE8D5"/>
        </patternFill>
      </fill>
    </dxf>
    <dxf>
      <font>
        <color rgb="FFB26A00"/>
      </font>
      <fill>
        <patternFill patternType="solid">
          <fgColor indexed="64"/>
          <bgColor rgb="FFFFF3CD"/>
        </patternFill>
      </fill>
    </dxf>
    <dxf>
      <font>
        <color rgb="FF0F5132"/>
      </font>
      <fill>
        <patternFill patternType="solid">
          <fgColor indexed="64"/>
          <bgColor rgb="FFD1E7DD"/>
        </patternFill>
      </fill>
    </dxf>
    <dxf>
      <font>
        <color rgb="FFC62828"/>
      </font>
      <fill>
        <patternFill patternType="solid">
          <fgColor indexed="64"/>
          <bgColor rgb="FFF8D7DA"/>
        </patternFill>
      </fill>
    </dxf>
    <dxf>
      <font>
        <color rgb="FF0F5132"/>
      </font>
      <fill>
        <patternFill patternType="solid">
          <fgColor indexed="64"/>
          <bgColor rgb="FFD1E7DD"/>
        </patternFill>
      </fill>
    </dxf>
    <dxf>
      <fill>
        <patternFill patternType="solid">
          <fgColor indexed="64"/>
          <bgColor rgb="FFEF9A9A"/>
        </patternFill>
      </fill>
    </dxf>
    <dxf>
      <fill>
        <patternFill patternType="solid">
          <fgColor indexed="64"/>
          <bgColor rgb="FFFFCDD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98754"/>
      <rgbColor rgb="FFCCCCCC"/>
      <rgbColor rgb="FF6C757D"/>
      <rgbColor rgb="FF9999FF"/>
      <rgbColor rgb="FFDC3545"/>
      <rgbColor rgb="FFFFF3CD"/>
      <rgbColor rgb="FFF1F3F5"/>
      <rgbColor rgb="FF660066"/>
      <rgbColor rgb="FFFF8080"/>
      <rgbColor rgb="FF0066CC"/>
      <rgbColor rgb="FFCCE5FF"/>
      <rgbColor rgb="FF000080"/>
      <rgbColor rgb="FFFF00FF"/>
      <rgbColor rgb="FFFFFF00"/>
      <rgbColor rgb="FF00FFFF"/>
      <rgbColor rgb="FF800080"/>
      <rgbColor rgb="FF800000"/>
      <rgbColor rgb="FF008080"/>
      <rgbColor rgb="FF0000FF"/>
      <rgbColor rgb="FF00CCFF"/>
      <rgbColor rgb="FFFFFEF7"/>
      <rgbColor rgb="FFD1E7DD"/>
      <rgbColor rgb="FFFFE5B4"/>
      <rgbColor rgb="FF99CCFF"/>
      <rgbColor rgb="FFF8D7DA"/>
      <rgbColor rgb="FFCC99FF"/>
      <rgbColor rgb="FFFFD580"/>
      <rgbColor rgb="FF3366FF"/>
      <rgbColor rgb="FF33CCCC"/>
      <rgbColor rgb="FF99CC00"/>
      <rgbColor rgb="FFFFC107"/>
      <rgbColor rgb="FFFF9900"/>
      <rgbColor rgb="FFFF6B00"/>
      <rgbColor rgb="FF6F42C1"/>
      <rgbColor rgb="FF969696"/>
      <rgbColor rgb="FF0A2540"/>
      <rgbColor rgb="FF28A745"/>
      <rgbColor rgb="FF0F5132"/>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alcChain" Target="calcChain.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8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FB2F8F9-5FB9-4E79-9AE3-CDD2F3A6EF14}">
  <we:reference id="WA200009404" version="1.0.0.8" store="Omex" storeType="OMEX"/>
  <we:alternateReferences>
    <we:reference id="WA200009404" version="1.0.0.8" store="WA200009404" storeType="OMEX"/>
  </we:alternateReferences>
  <we:properties>
    <we:property name="claude.fileId" value="&quot;6bc42ae4-23d7-4d86-9b6d-a761d9a960f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1.xml.rels><?xml version="1.0" encoding="UTF-8" standalone="yes"?>
<Relationships xmlns="http://schemas.openxmlformats.org/package/2006/relationships"><Relationship Id="rId3" Type="http://schemas.openxmlformats.org/officeDocument/2006/relationships/hyperlink" Target="https://www.mordorintelligence.com/industry-reports/asean-energy-storage-market" TargetMode="External"/><Relationship Id="rId2" Type="http://schemas.openxmlformats.org/officeDocument/2006/relationships/hyperlink" Target="https://www.esdm.go.id/id/media-center/arsip-berita/ini-target-pemerintah-untuk-populasi-kendaraan-listrik-di-tahun-2030" TargetMode="External"/><Relationship Id="rId1" Type="http://schemas.openxmlformats.org/officeDocument/2006/relationships/hyperlink" Target="https://www.bps.go.id/en/statistics-table/2/NTcjMg==/perkembangan-jumlah-kendaraan-bermotor-menurut-jenis--unit-.html" TargetMode="External"/><Relationship Id="rId5" Type="http://schemas.openxmlformats.org/officeDocument/2006/relationships/hyperlink" Target="https://www.indexbox.io/store/indonesia-advanced-energy-storage-systems-market-analysis-forecast-size-trends-and-insights/" TargetMode="External"/><Relationship Id="rId4" Type="http://schemas.openxmlformats.org/officeDocument/2006/relationships/hyperlink" Target="https://www.bps.go.id/"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ieefa.org/topics/indonesia" TargetMode="External"/><Relationship Id="rId2" Type="http://schemas.openxmlformats.org/officeDocument/2006/relationships/hyperlink" Target="https://www.itdp.org/where-we-work/indonesia/" TargetMode="External"/><Relationship Id="rId1" Type="http://schemas.openxmlformats.org/officeDocument/2006/relationships/hyperlink" Target="https://www.esdm.go.id/en" TargetMode="External"/><Relationship Id="rId5" Type="http://schemas.openxmlformats.org/officeDocument/2006/relationships/hyperlink" Target="https://ieefa.org/topics/indonesia" TargetMode="External"/><Relationship Id="rId4" Type="http://schemas.openxmlformats.org/officeDocument/2006/relationships/hyperlink" Target="https://www.sciencedirect.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https://ieefa.org/topics/indonesia" TargetMode="External"/><Relationship Id="rId13" Type="http://schemas.openxmlformats.org/officeDocument/2006/relationships/hyperlink" Target="https://www.marketsandmarkets.com/Market-Reports/second-life-ev-battery-market-69784793.html" TargetMode="External"/><Relationship Id="rId3" Type="http://schemas.openxmlformats.org/officeDocument/2006/relationships/hyperlink" Target="https://www.motorcyclesdata.com/" TargetMode="External"/><Relationship Id="rId7" Type="http://schemas.openxmlformats.org/officeDocument/2006/relationships/hyperlink" Target="https://web.pln.co.id/en" TargetMode="External"/><Relationship Id="rId12" Type="http://schemas.openxmlformats.org/officeDocument/2006/relationships/hyperlink" Target="https://www.coherentmarketinsights.com/market-insight/battery-swapping-market-5765" TargetMode="External"/><Relationship Id="rId2" Type="http://schemas.openxmlformats.org/officeDocument/2006/relationships/hyperlink" Target="https://www.tycorun.com/blogs/news/indonesia-ev-market" TargetMode="External"/><Relationship Id="rId16" Type="http://schemas.openxmlformats.org/officeDocument/2006/relationships/hyperlink" Target="https://www.tycorun.com/blogs/news/indonesia-ev-market" TargetMode="External"/><Relationship Id="rId1" Type="http://schemas.openxmlformats.org/officeDocument/2006/relationships/hyperlink" Target="https://www.bps.go.id/" TargetMode="External"/><Relationship Id="rId6" Type="http://schemas.openxmlformats.org/officeDocument/2006/relationships/hyperlink" Target="https://www.psmarketresearch.com/market-analysis/ev-battery-market" TargetMode="External"/><Relationship Id="rId11" Type="http://schemas.openxmlformats.org/officeDocument/2006/relationships/hyperlink" Target="https://www.mordorintelligence.com/industry-reports/southeast-asia-battery-swapping-market" TargetMode="External"/><Relationship Id="rId5" Type="http://schemas.openxmlformats.org/officeDocument/2006/relationships/hyperlink" Target="https://www.psmarketresearch.com/market-analysis/ev-battery-market" TargetMode="External"/><Relationship Id="rId15" Type="http://schemas.openxmlformats.org/officeDocument/2006/relationships/hyperlink" Target="https://ieefa.org/topics/indonesia" TargetMode="External"/><Relationship Id="rId10" Type="http://schemas.openxmlformats.org/officeDocument/2006/relationships/hyperlink" Target="https://www.itdp.org/where-we-work/indonesia/" TargetMode="External"/><Relationship Id="rId4" Type="http://schemas.openxmlformats.org/officeDocument/2006/relationships/hyperlink" Target="https://www.tycorun.com/blogs/news/indonesia-ev-market" TargetMode="External"/><Relationship Id="rId9" Type="http://schemas.openxmlformats.org/officeDocument/2006/relationships/hyperlink" Target="https://ieefa.org/topics/indonesia" TargetMode="External"/><Relationship Id="rId14" Type="http://schemas.openxmlformats.org/officeDocument/2006/relationships/hyperlink" Target="https://www.mordorintelligence.com/industry-reports/battery-as-a-service-market" TargetMode="External"/></Relationships>
</file>

<file path=xl/worksheets/_rels/sheet3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8.xml.rels><?xml version="1.0" encoding="UTF-8" standalone="yes"?>
<Relationships xmlns="http://schemas.openxmlformats.org/package/2006/relationships"><Relationship Id="rId8" Type="http://schemas.openxmlformats.org/officeDocument/2006/relationships/hyperlink" Target="https://www.nio.com/nio-power" TargetMode="External"/><Relationship Id="rId13" Type="http://schemas.openxmlformats.org/officeDocument/2006/relationships/hyperlink" Target="https://www.sciencedirect.com/science/article/pii/S2590198225001848" TargetMode="External"/><Relationship Id="rId3" Type="http://schemas.openxmlformats.org/officeDocument/2006/relationships/hyperlink" Target="https://www.tbsenergi.com/" TargetMode="External"/><Relationship Id="rId7" Type="http://schemas.openxmlformats.org/officeDocument/2006/relationships/hyperlink" Target="https://www.catl.com/en/" TargetMode="External"/><Relationship Id="rId12" Type="http://schemas.openxmlformats.org/officeDocument/2006/relationships/hyperlink" Target="https://www.mdpi.com/2032-6653/17/3/112" TargetMode="External"/><Relationship Id="rId2" Type="http://schemas.openxmlformats.org/officeDocument/2006/relationships/hyperlink" Target="https://swapenergy.id/" TargetMode="External"/><Relationship Id="rId1" Type="http://schemas.openxmlformats.org/officeDocument/2006/relationships/hyperlink" Target="https://www.gogoro.com/" TargetMode="External"/><Relationship Id="rId6" Type="http://schemas.openxmlformats.org/officeDocument/2006/relationships/hyperlink" Target="https://www.tesla.com/energy" TargetMode="External"/><Relationship Id="rId11" Type="http://schemas.openxmlformats.org/officeDocument/2006/relationships/hyperlink" Target="https://www.itdp.org/where-we-work/indonesia/" TargetMode="External"/><Relationship Id="rId5" Type="http://schemas.openxmlformats.org/officeDocument/2006/relationships/hyperlink" Target="https://www.c-e-int.com/" TargetMode="External"/><Relationship Id="rId10" Type="http://schemas.openxmlformats.org/officeDocument/2006/relationships/hyperlink" Target="https://cnevpost.com/2026/02/04/global-ev-battery-market-share-2025/" TargetMode="External"/><Relationship Id="rId4" Type="http://schemas.openxmlformats.org/officeDocument/2006/relationships/hyperlink" Target="https://www.sunmobility.co.in/" TargetMode="External"/><Relationship Id="rId9" Type="http://schemas.openxmlformats.org/officeDocument/2006/relationships/hyperlink" Target="https://www.grandviewresearch.com/industry-analysis/battery-swapping-charging-infrastructure-market-report"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https://verra.org/programs/verified-carbon-standard/" TargetMode="External"/><Relationship Id="rId13" Type="http://schemas.openxmlformats.org/officeDocument/2006/relationships/hyperlink" Target="https://www.gogoro.com/news/" TargetMode="External"/><Relationship Id="rId18" Type="http://schemas.openxmlformats.org/officeDocument/2006/relationships/hyperlink" Target="https://mentari.info/" TargetMode="External"/><Relationship Id="rId3" Type="http://schemas.openxmlformats.org/officeDocument/2006/relationships/hyperlink" Target="https://www.bi.go.id/en/statistik/informasi-kurs/transaksi-bi/default.aspx" TargetMode="External"/><Relationship Id="rId21" Type="http://schemas.openxmlformats.org/officeDocument/2006/relationships/hyperlink" Target="https://verra.org/methodologies/" TargetMode="External"/><Relationship Id="rId7" Type="http://schemas.openxmlformats.org/officeDocument/2006/relationships/hyperlink" Target="https://www.idxcarbon.co.id/en" TargetMode="External"/><Relationship Id="rId12" Type="http://schemas.openxmlformats.org/officeDocument/2006/relationships/hyperlink" Target="https://www.sciencedirect.com/" TargetMode="External"/><Relationship Id="rId17" Type="http://schemas.openxmlformats.org/officeDocument/2006/relationships/hyperlink" Target="https://smoot.id/" TargetMode="External"/><Relationship Id="rId2" Type="http://schemas.openxmlformats.org/officeDocument/2006/relationships/hyperlink" Target="https://www.climatepolicyinitiative.org/" TargetMode="External"/><Relationship Id="rId16" Type="http://schemas.openxmlformats.org/officeDocument/2006/relationships/hyperlink" Target="https://www.catl.com/en/" TargetMode="External"/><Relationship Id="rId20" Type="http://schemas.openxmlformats.org/officeDocument/2006/relationships/hyperlink" Target="https://www.connected-energy.co.uk/" TargetMode="External"/><Relationship Id="rId1" Type="http://schemas.openxmlformats.org/officeDocument/2006/relationships/hyperlink" Target="https://www.bi.go.id/en/statistik/indikator/inflasi.aspx" TargetMode="External"/><Relationship Id="rId6" Type="http://schemas.openxmlformats.org/officeDocument/2006/relationships/hyperlink" Target="https://ieefa.org/topics/indonesia" TargetMode="External"/><Relationship Id="rId11" Type="http://schemas.openxmlformats.org/officeDocument/2006/relationships/hyperlink" Target="https://www.itdp.org/where-we-work/indonesia/" TargetMode="External"/><Relationship Id="rId5" Type="http://schemas.openxmlformats.org/officeDocument/2006/relationships/hyperlink" Target="https://about.bnef.com/electric-vehicle-outlook/" TargetMode="External"/><Relationship Id="rId15" Type="http://schemas.openxmlformats.org/officeDocument/2006/relationships/hyperlink" Target="https://www.bvp.com/atlas/state-of-the-cloud-2024" TargetMode="External"/><Relationship Id="rId23" Type="http://schemas.openxmlformats.org/officeDocument/2006/relationships/comments" Target="../comments2.xml"/><Relationship Id="rId10" Type="http://schemas.openxmlformats.org/officeDocument/2006/relationships/hyperlink" Target="https://www.esdm.go.id/en" TargetMode="External"/><Relationship Id="rId19" Type="http://schemas.openxmlformats.org/officeDocument/2006/relationships/hyperlink" Target="https://www.connected-energy.co.uk/" TargetMode="External"/><Relationship Id="rId4" Type="http://schemas.openxmlformats.org/officeDocument/2006/relationships/hyperlink" Target="https://www.bi.go.id/en/statistik/indikator/inflasi.aspx" TargetMode="External"/><Relationship Id="rId9" Type="http://schemas.openxmlformats.org/officeDocument/2006/relationships/hyperlink" Target="https://www.pajak.go.id/en/corporate-income-tax" TargetMode="External"/><Relationship Id="rId14" Type="http://schemas.openxmlformats.org/officeDocument/2006/relationships/hyperlink" Target="https://web.pln.co.id/en" TargetMode="External"/><Relationship Id="rId22" Type="http://schemas.openxmlformats.org/officeDocument/2006/relationships/vmlDrawing" Target="../drawings/vmlDrawing2.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1.xml.rels><?xml version="1.0" encoding="UTF-8" standalone="yes"?>
<Relationships xmlns="http://schemas.openxmlformats.org/package/2006/relationships"><Relationship Id="rId13" Type="http://schemas.openxmlformats.org/officeDocument/2006/relationships/hyperlink" Target="https://about.bnef.com/electric-vehicle-outlook/" TargetMode="External"/><Relationship Id="rId18" Type="http://schemas.openxmlformats.org/officeDocument/2006/relationships/hyperlink" Target="https://www.hellopower.com/" TargetMode="External"/><Relationship Id="rId26" Type="http://schemas.openxmlformats.org/officeDocument/2006/relationships/hyperlink" Target="https://www.hellopower.com/" TargetMode="External"/><Relationship Id="rId39" Type="http://schemas.openxmlformats.org/officeDocument/2006/relationships/hyperlink" Target="https://m2m.telkomsel.com/" TargetMode="External"/><Relationship Id="rId21" Type="http://schemas.openxmlformats.org/officeDocument/2006/relationships/hyperlink" Target="https://www.hellopower.com/" TargetMode="External"/><Relationship Id="rId34" Type="http://schemas.openxmlformats.org/officeDocument/2006/relationships/hyperlink" Target="https://www.hellopower.com/" TargetMode="External"/><Relationship Id="rId42" Type="http://schemas.openxmlformats.org/officeDocument/2006/relationships/hyperlink" Target="https://about.bnef.com/electric-vehicle-outlook/" TargetMode="External"/><Relationship Id="rId47" Type="http://schemas.openxmlformats.org/officeDocument/2006/relationships/hyperlink" Target="https://atb.nrel.gov/electricity/2024/commercial_battery_storage" TargetMode="External"/><Relationship Id="rId50" Type="http://schemas.openxmlformats.org/officeDocument/2006/relationships/hyperlink" Target="https://about.bnef.com/electric-vehicle-outlook/" TargetMode="External"/><Relationship Id="rId7" Type="http://schemas.openxmlformats.org/officeDocument/2006/relationships/hyperlink" Target="https://jdih.jabarprov.go.id/" TargetMode="External"/><Relationship Id="rId2" Type="http://schemas.openxmlformats.org/officeDocument/2006/relationships/hyperlink" Target="https://www.pajak.go.id/" TargetMode="External"/><Relationship Id="rId16" Type="http://schemas.openxmlformats.org/officeDocument/2006/relationships/hyperlink" Target="https://www.hellopower.com/" TargetMode="External"/><Relationship Id="rId29" Type="http://schemas.openxmlformats.org/officeDocument/2006/relationships/hyperlink" Target="https://www.hellopower.com/" TargetMode="External"/><Relationship Id="rId11" Type="http://schemas.openxmlformats.org/officeDocument/2006/relationships/hyperlink" Target="https://about.bnef.com/electric-vehicle-outlook/" TargetMode="External"/><Relationship Id="rId24" Type="http://schemas.openxmlformats.org/officeDocument/2006/relationships/hyperlink" Target="https://www.hellopower.com/" TargetMode="External"/><Relationship Id="rId32" Type="http://schemas.openxmlformats.org/officeDocument/2006/relationships/hyperlink" Target="https://www.hellopower.com/" TargetMode="External"/><Relationship Id="rId37" Type="http://schemas.openxmlformats.org/officeDocument/2006/relationships/hyperlink" Target="https://instances.vantage.sh/rds/" TargetMode="External"/><Relationship Id="rId40" Type="http://schemas.openxmlformats.org/officeDocument/2006/relationships/hyperlink" Target="https://tracksolid.id/" TargetMode="External"/><Relationship Id="rId45" Type="http://schemas.openxmlformats.org/officeDocument/2006/relationships/hyperlink" Target="https://atb.nrel.gov/electricity/2024/commercial_battery_storage" TargetMode="External"/><Relationship Id="rId5" Type="http://schemas.openxmlformats.org/officeDocument/2006/relationships/hyperlink" Target="https://sunenergy.id/" TargetMode="External"/><Relationship Id="rId15" Type="http://schemas.openxmlformats.org/officeDocument/2006/relationships/hyperlink" Target="https://about.bnef.com/electric-vehicle-outlook/" TargetMode="External"/><Relationship Id="rId23" Type="http://schemas.openxmlformats.org/officeDocument/2006/relationships/hyperlink" Target="https://www.hellopower.com/" TargetMode="External"/><Relationship Id="rId28" Type="http://schemas.openxmlformats.org/officeDocument/2006/relationships/hyperlink" Target="https://www.hellopower.com/" TargetMode="External"/><Relationship Id="rId36" Type="http://schemas.openxmlformats.org/officeDocument/2006/relationships/hyperlink" Target="https://instances.vantage.sh/" TargetMode="External"/><Relationship Id="rId49" Type="http://schemas.openxmlformats.org/officeDocument/2006/relationships/hyperlink" Target="https://arxiv.org/" TargetMode="External"/><Relationship Id="rId10" Type="http://schemas.openxmlformats.org/officeDocument/2006/relationships/hyperlink" Target="https://about.bnef.com/electric-vehicle-outlook/" TargetMode="External"/><Relationship Id="rId19" Type="http://schemas.openxmlformats.org/officeDocument/2006/relationships/hyperlink" Target="https://www.hellopower.com/" TargetMode="External"/><Relationship Id="rId31" Type="http://schemas.openxmlformats.org/officeDocument/2006/relationships/hyperlink" Target="https://www.hellopower.com/" TargetMode="External"/><Relationship Id="rId44" Type="http://schemas.openxmlformats.org/officeDocument/2006/relationships/hyperlink" Target="https://atb.nrel.gov/electricity/2024/commercial_battery_storage" TargetMode="External"/><Relationship Id="rId52" Type="http://schemas.openxmlformats.org/officeDocument/2006/relationships/hyperlink" Target="https://sunenergy.id/" TargetMode="External"/><Relationship Id="rId4" Type="http://schemas.openxmlformats.org/officeDocument/2006/relationships/hyperlink" Target="https://sunenergy.id/" TargetMode="External"/><Relationship Id="rId9" Type="http://schemas.openxmlformats.org/officeDocument/2006/relationships/hyperlink" Target="https://jdih.jabarprov.go.id/" TargetMode="External"/><Relationship Id="rId14" Type="http://schemas.openxmlformats.org/officeDocument/2006/relationships/hyperlink" Target="https://about.bnef.com/electric-vehicle-outlook/" TargetMode="External"/><Relationship Id="rId22" Type="http://schemas.openxmlformats.org/officeDocument/2006/relationships/hyperlink" Target="https://www.hellopower.com/" TargetMode="External"/><Relationship Id="rId27" Type="http://schemas.openxmlformats.org/officeDocument/2006/relationships/hyperlink" Target="https://www.hellopower.com/" TargetMode="External"/><Relationship Id="rId30" Type="http://schemas.openxmlformats.org/officeDocument/2006/relationships/hyperlink" Target="https://www.hellopower.com/" TargetMode="External"/><Relationship Id="rId35" Type="http://schemas.openxmlformats.org/officeDocument/2006/relationships/hyperlink" Target="https://instances.vantage.sh/" TargetMode="External"/><Relationship Id="rId43" Type="http://schemas.openxmlformats.org/officeDocument/2006/relationships/hyperlink" Target="https://atb.nrel.gov/electricity/2024/commercial_battery_storage" TargetMode="External"/><Relationship Id="rId48" Type="http://schemas.openxmlformats.org/officeDocument/2006/relationships/hyperlink" Target="https://atb.nrel.gov/electricity/2024/commercial_battery_storage" TargetMode="External"/><Relationship Id="rId8" Type="http://schemas.openxmlformats.org/officeDocument/2006/relationships/hyperlink" Target="https://jdih.jabarprov.go.id/" TargetMode="External"/><Relationship Id="rId51" Type="http://schemas.openxmlformats.org/officeDocument/2006/relationships/hyperlink" Target="https://about.bnef.com/electric-vehicle-outlook/" TargetMode="External"/><Relationship Id="rId3" Type="http://schemas.openxmlformats.org/officeDocument/2006/relationships/hyperlink" Target="https://www.pajak.go.id/" TargetMode="External"/><Relationship Id="rId12" Type="http://schemas.openxmlformats.org/officeDocument/2006/relationships/hyperlink" Target="https://about.bnef.com/electric-vehicle-outlook/" TargetMode="External"/><Relationship Id="rId17" Type="http://schemas.openxmlformats.org/officeDocument/2006/relationships/hyperlink" Target="https://www.hellopower.com/" TargetMode="External"/><Relationship Id="rId25" Type="http://schemas.openxmlformats.org/officeDocument/2006/relationships/hyperlink" Target="https://www.hellopower.com/" TargetMode="External"/><Relationship Id="rId33" Type="http://schemas.openxmlformats.org/officeDocument/2006/relationships/hyperlink" Target="https://www.hellopower.com/" TargetMode="External"/><Relationship Id="rId38" Type="http://schemas.openxmlformats.org/officeDocument/2006/relationships/hyperlink" Target="https://instances.vantage.sh/rds/" TargetMode="External"/><Relationship Id="rId46" Type="http://schemas.openxmlformats.org/officeDocument/2006/relationships/hyperlink" Target="https://atb.nrel.gov/electricity/2024/commercial_battery_storage" TargetMode="External"/><Relationship Id="rId20" Type="http://schemas.openxmlformats.org/officeDocument/2006/relationships/hyperlink" Target="https://www.hellopower.com/" TargetMode="External"/><Relationship Id="rId41" Type="http://schemas.openxmlformats.org/officeDocument/2006/relationships/hyperlink" Target="https://about.bnef.com/electric-vehicle-outlook/" TargetMode="External"/><Relationship Id="rId1" Type="http://schemas.openxmlformats.org/officeDocument/2006/relationships/hyperlink" Target="https://www.bi.go.id/en/statistik/informasi-kurs/jisdor/default.aspx" TargetMode="External"/><Relationship Id="rId6" Type="http://schemas.openxmlformats.org/officeDocument/2006/relationships/hyperlink" Target="https://jdih.jakarta.go.id/" TargetMode="External"/></Relationships>
</file>

<file path=xl/worksheets/_rels/sheet42.xml.rels><?xml version="1.0" encoding="UTF-8" standalone="yes"?>
<Relationships xmlns="http://schemas.openxmlformats.org/package/2006/relationships"><Relationship Id="rId13" Type="http://schemas.openxmlformats.org/officeDocument/2006/relationships/hyperlink" Target="https://www.alibaba.com/showroom/xt60-connector.html" TargetMode="External"/><Relationship Id="rId18" Type="http://schemas.openxmlformats.org/officeDocument/2006/relationships/hyperlink" Target="https://www.alibaba.com/showroom/spring-latch-lock.html" TargetMode="External"/><Relationship Id="rId26" Type="http://schemas.openxmlformats.org/officeDocument/2006/relationships/hyperlink" Target="https://m2m.telkomsel.com/" TargetMode="External"/><Relationship Id="rId39" Type="http://schemas.openxmlformats.org/officeDocument/2006/relationships/hyperlink" Target="https://atb.nrel.gov/electricity/2024/commercial_battery_storage" TargetMode="External"/><Relationship Id="rId21" Type="http://schemas.openxmlformats.org/officeDocument/2006/relationships/hyperlink" Target="https://www.alibaba.com/showroom/flame-retardant-material.html" TargetMode="External"/><Relationship Id="rId34" Type="http://schemas.openxmlformats.org/officeDocument/2006/relationships/hyperlink" Target="https://about.bnef.com/electric-vehicle-outlook/" TargetMode="External"/><Relationship Id="rId42" Type="http://schemas.openxmlformats.org/officeDocument/2006/relationships/hyperlink" Target="https://www.alibaba.com/showroom/ac-distribution-panel.html" TargetMode="External"/><Relationship Id="rId47" Type="http://schemas.openxmlformats.org/officeDocument/2006/relationships/hyperlink" Target="https://www.alibaba.com/showroom/fire-suppression-system.html" TargetMode="External"/><Relationship Id="rId50" Type="http://schemas.openxmlformats.org/officeDocument/2006/relationships/hyperlink" Target="https://www.alibaba.com/showroom/fireproof-safety-cabinet.html" TargetMode="External"/><Relationship Id="rId7" Type="http://schemas.openxmlformats.org/officeDocument/2006/relationships/hyperlink" Target="https://www.alibaba.com/showroom/hall-effect-current-sensor.html" TargetMode="External"/><Relationship Id="rId2" Type="http://schemas.openxmlformats.org/officeDocument/2006/relationships/hyperlink" Target="https://www.alibaba.com/showroom/copper-busbar-battery.html" TargetMode="External"/><Relationship Id="rId16" Type="http://schemas.openxmlformats.org/officeDocument/2006/relationships/hyperlink" Target="https://www.alibaba.com/showroom/rubber-gasket-o-ring.html" TargetMode="External"/><Relationship Id="rId29" Type="http://schemas.openxmlformats.org/officeDocument/2006/relationships/hyperlink" Target="https://firebase.google.com/pricing" TargetMode="External"/><Relationship Id="rId11" Type="http://schemas.openxmlformats.org/officeDocument/2006/relationships/hyperlink" Target="https://www.alibaba.com/showroom/nfc-rfid-tag.html" TargetMode="External"/><Relationship Id="rId24" Type="http://schemas.openxmlformats.org/officeDocument/2006/relationships/hyperlink" Target="https://www.alibaba.com/showroom/4g-iot-gateway.html" TargetMode="External"/><Relationship Id="rId32" Type="http://schemas.openxmlformats.org/officeDocument/2006/relationships/hyperlink" Target="https://www.alibaba.com/showroom/portable-generator-3kw.html" TargetMode="External"/><Relationship Id="rId37" Type="http://schemas.openxmlformats.org/officeDocument/2006/relationships/hyperlink" Target="https://www.alibaba.com/showroom/rack-bms-battery.html" TargetMode="External"/><Relationship Id="rId40" Type="http://schemas.openxmlformats.org/officeDocument/2006/relationships/hyperlink" Target="https://www.alibaba.com/showroom/energy-management-system.html" TargetMode="External"/><Relationship Id="rId45" Type="http://schemas.openxmlformats.org/officeDocument/2006/relationships/hyperlink" Target="https://www.alibaba.com/showroom/4g-iot-gateway.html" TargetMode="External"/><Relationship Id="rId5" Type="http://schemas.openxmlformats.org/officeDocument/2006/relationships/hyperlink" Target="https://www.alibaba.com/showroom/72v-bms.html" TargetMode="External"/><Relationship Id="rId15" Type="http://schemas.openxmlformats.org/officeDocument/2006/relationships/hyperlink" Target="https://www.alibaba.com/showroom/abs-battery-casing.html" TargetMode="External"/><Relationship Id="rId23" Type="http://schemas.openxmlformats.org/officeDocument/2006/relationships/hyperlink" Target="https://www.alibaba.com/showroom/can-rs485-adapter.html" TargetMode="External"/><Relationship Id="rId28" Type="http://schemas.openxmlformats.org/officeDocument/2006/relationships/hyperlink" Target="https://instances.vantage.sh/rds/" TargetMode="External"/><Relationship Id="rId36" Type="http://schemas.openxmlformats.org/officeDocument/2006/relationships/hyperlink" Target="https://www.alibaba.com/showroom/dc-busbar-copper.html" TargetMode="External"/><Relationship Id="rId49" Type="http://schemas.openxmlformats.org/officeDocument/2006/relationships/hyperlink" Target="https://www.alibaba.com/showroom/battery-discharge-load-bank.html" TargetMode="External"/><Relationship Id="rId10" Type="http://schemas.openxmlformats.org/officeDocument/2006/relationships/hyperlink" Target="https://www.alibaba.com/showroom/can-bus-transceiver-module.html" TargetMode="External"/><Relationship Id="rId19" Type="http://schemas.openxmlformats.org/officeDocument/2006/relationships/hyperlink" Target="https://www.alibaba.com/showroom/screw-bolt-nut-set.html" TargetMode="External"/><Relationship Id="rId31" Type="http://schemas.openxmlformats.org/officeDocument/2006/relationships/hyperlink" Target="https://www.alibaba.com/showroom/solar-panel-400w.html" TargetMode="External"/><Relationship Id="rId44" Type="http://schemas.openxmlformats.org/officeDocument/2006/relationships/hyperlink" Target="https://www.alibaba.com/showroom/hmi-display-panel.html" TargetMode="External"/><Relationship Id="rId52" Type="http://schemas.openxmlformats.org/officeDocument/2006/relationships/hyperlink" Target="https://www.tokopedia.com/" TargetMode="External"/><Relationship Id="rId4" Type="http://schemas.openxmlformats.org/officeDocument/2006/relationships/hyperlink" Target="https://www.alibaba.com/showroom/thermal-pad-battery.html" TargetMode="External"/><Relationship Id="rId9" Type="http://schemas.openxmlformats.org/officeDocument/2006/relationships/hyperlink" Target="https://www.alibaba.com/showroom/battery-fuse-mosfet.html" TargetMode="External"/><Relationship Id="rId14" Type="http://schemas.openxmlformats.org/officeDocument/2006/relationships/hyperlink" Target="https://www.alibaba.com/showroom/molex-jst-connector.html" TargetMode="External"/><Relationship Id="rId22" Type="http://schemas.openxmlformats.org/officeDocument/2006/relationships/hyperlink" Target="https://www.alibaba.com/showroom/foam-insert-packaging.html" TargetMode="External"/><Relationship Id="rId27" Type="http://schemas.openxmlformats.org/officeDocument/2006/relationships/hyperlink" Target="https://instances.vantage.sh/" TargetMode="External"/><Relationship Id="rId30" Type="http://schemas.openxmlformats.org/officeDocument/2006/relationships/hyperlink" Target="https://www.xendit.co/en/pricing/" TargetMode="External"/><Relationship Id="rId35" Type="http://schemas.openxmlformats.org/officeDocument/2006/relationships/hyperlink" Target="https://www.alibaba.com/showroom/battery-rack-steel.html" TargetMode="External"/><Relationship Id="rId43" Type="http://schemas.openxmlformats.org/officeDocument/2006/relationships/hyperlink" Target="https://www.alibaba.com/showroom/protection-relay.html" TargetMode="External"/><Relationship Id="rId48" Type="http://schemas.openxmlformats.org/officeDocument/2006/relationships/hyperlink" Target="https://www.tokopedia.com/" TargetMode="External"/><Relationship Id="rId8" Type="http://schemas.openxmlformats.org/officeDocument/2006/relationships/hyperlink" Target="https://www.lcsc.com/" TargetMode="External"/><Relationship Id="rId51" Type="http://schemas.openxmlformats.org/officeDocument/2006/relationships/hyperlink" Target="https://www.tokopedia.com/" TargetMode="External"/><Relationship Id="rId3" Type="http://schemas.openxmlformats.org/officeDocument/2006/relationships/hyperlink" Target="https://www.alibaba.com/showroom/battery-insulation-material.html" TargetMode="External"/><Relationship Id="rId12" Type="http://schemas.openxmlformats.org/officeDocument/2006/relationships/hyperlink" Target="https://www.alibaba.com/showroom/anderson-dc-connector.html" TargetMode="External"/><Relationship Id="rId17" Type="http://schemas.openxmlformats.org/officeDocument/2006/relationships/hyperlink" Target="https://www.alibaba.com/showroom/plastic-handle-grip.html" TargetMode="External"/><Relationship Id="rId25" Type="http://schemas.openxmlformats.org/officeDocument/2006/relationships/hyperlink" Target="https://www.lcsc.com/" TargetMode="External"/><Relationship Id="rId33" Type="http://schemas.openxmlformats.org/officeDocument/2006/relationships/hyperlink" Target="https://www.renogy.com/collections/mppt-charge-controllers" TargetMode="External"/><Relationship Id="rId38" Type="http://schemas.openxmlformats.org/officeDocument/2006/relationships/hyperlink" Target="https://www.alibaba.com/showroom/hybrid-inverter-5kw.html" TargetMode="External"/><Relationship Id="rId46" Type="http://schemas.openxmlformats.org/officeDocument/2006/relationships/hyperlink" Target="https://www.alibaba.com/showroom/outdoor-ess-cabinet.html" TargetMode="External"/><Relationship Id="rId20" Type="http://schemas.openxmlformats.org/officeDocument/2006/relationships/hyperlink" Target="https://www.alibaba.com/showroom/battery-safety-vent.html" TargetMode="External"/><Relationship Id="rId41" Type="http://schemas.openxmlformats.org/officeDocument/2006/relationships/hyperlink" Target="https://www.alibaba.com/showroom/dc-distribution-panel.html" TargetMode="External"/><Relationship Id="rId1" Type="http://schemas.openxmlformats.org/officeDocument/2006/relationships/hyperlink" Target="https://www.alibaba.com/showroom/lifepo4-cell-3-2v.html" TargetMode="External"/><Relationship Id="rId6" Type="http://schemas.openxmlformats.org/officeDocument/2006/relationships/hyperlink" Target="https://www.alibaba.com/showroom/battery-wire-harness.html" TargetMode="External"/></Relationships>
</file>

<file path=xl/worksheets/_rels/sheet4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6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6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67.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9.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7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269DC-3FC5-42C3-8975-38D2BBF92F63}">
  <sheetPr>
    <tabColor rgb="FF0F5132"/>
  </sheetPr>
  <dimension ref="A1:A100"/>
  <sheetViews>
    <sheetView showGridLines="0" workbookViewId="0">
      <pane ySplit="3" topLeftCell="A61" activePane="bottomLeft" state="frozen"/>
      <selection pane="bottomLeft" activeCell="A95" sqref="A95:A99"/>
    </sheetView>
  </sheetViews>
  <sheetFormatPr defaultRowHeight="14.5" x14ac:dyDescent="0.35"/>
  <cols>
    <col min="1" max="1" width="45.453125" customWidth="1"/>
  </cols>
  <sheetData>
    <row r="1" spans="1:1" ht="21" x14ac:dyDescent="0.5">
      <c r="A1" s="563" t="s">
        <v>5623</v>
      </c>
    </row>
    <row r="2" spans="1:1" x14ac:dyDescent="0.35">
      <c r="A2" s="664" t="s">
        <v>5812</v>
      </c>
    </row>
    <row r="4" spans="1:1" x14ac:dyDescent="0.35">
      <c r="A4" s="665" t="s">
        <v>5779</v>
      </c>
    </row>
    <row r="5" spans="1:1" x14ac:dyDescent="0.35">
      <c r="A5" s="201" t="s">
        <v>5624</v>
      </c>
    </row>
    <row r="6" spans="1:1" x14ac:dyDescent="0.35">
      <c r="A6" s="201" t="s">
        <v>5780</v>
      </c>
    </row>
    <row r="7" spans="1:1" x14ac:dyDescent="0.35">
      <c r="A7" s="201" t="s">
        <v>5625</v>
      </c>
    </row>
    <row r="8" spans="1:1" x14ac:dyDescent="0.35">
      <c r="A8" s="201" t="s">
        <v>5781</v>
      </c>
    </row>
    <row r="10" spans="1:1" x14ac:dyDescent="0.35">
      <c r="A10" s="665" t="s">
        <v>5626</v>
      </c>
    </row>
    <row r="11" spans="1:1" x14ac:dyDescent="0.35">
      <c r="A11" s="201" t="s">
        <v>5590</v>
      </c>
    </row>
    <row r="12" spans="1:1" x14ac:dyDescent="0.35">
      <c r="A12" s="201" t="s">
        <v>5750</v>
      </c>
    </row>
    <row r="13" spans="1:1" x14ac:dyDescent="0.35">
      <c r="A13" s="201" t="s">
        <v>5457</v>
      </c>
    </row>
    <row r="14" spans="1:1" x14ac:dyDescent="0.35">
      <c r="A14" s="201" t="s">
        <v>5782</v>
      </c>
    </row>
    <row r="15" spans="1:1" x14ac:dyDescent="0.35">
      <c r="A15" s="201" t="s">
        <v>5591</v>
      </c>
    </row>
    <row r="16" spans="1:1" x14ac:dyDescent="0.35">
      <c r="A16" s="201" t="s">
        <v>5765</v>
      </c>
    </row>
    <row r="17" spans="1:1" x14ac:dyDescent="0.35">
      <c r="A17" s="201" t="s">
        <v>5592</v>
      </c>
    </row>
    <row r="18" spans="1:1" x14ac:dyDescent="0.35">
      <c r="A18" s="201" t="s">
        <v>5593</v>
      </c>
    </row>
    <row r="19" spans="1:1" x14ac:dyDescent="0.35">
      <c r="A19" s="201" t="s">
        <v>5594</v>
      </c>
    </row>
    <row r="20" spans="1:1" x14ac:dyDescent="0.35">
      <c r="A20" s="201" t="s">
        <v>5595</v>
      </c>
    </row>
    <row r="22" spans="1:1" x14ac:dyDescent="0.35">
      <c r="A22" s="665" t="s">
        <v>5264</v>
      </c>
    </row>
    <row r="23" spans="1:1" x14ac:dyDescent="0.35">
      <c r="A23" s="201" t="s">
        <v>5265</v>
      </c>
    </row>
    <row r="24" spans="1:1" x14ac:dyDescent="0.35">
      <c r="A24" s="201" t="s">
        <v>4035</v>
      </c>
    </row>
    <row r="25" spans="1:1" x14ac:dyDescent="0.35">
      <c r="A25" s="201" t="s">
        <v>66</v>
      </c>
    </row>
    <row r="26" spans="1:1" x14ac:dyDescent="0.35">
      <c r="A26" s="201" t="s">
        <v>68</v>
      </c>
    </row>
    <row r="27" spans="1:1" x14ac:dyDescent="0.35">
      <c r="A27" s="201" t="s">
        <v>2563</v>
      </c>
    </row>
    <row r="28" spans="1:1" x14ac:dyDescent="0.35">
      <c r="A28" s="201" t="s">
        <v>5266</v>
      </c>
    </row>
    <row r="30" spans="1:1" x14ac:dyDescent="0.35">
      <c r="A30" s="665" t="s">
        <v>5267</v>
      </c>
    </row>
    <row r="31" spans="1:1" x14ac:dyDescent="0.35">
      <c r="A31" s="201" t="s">
        <v>71</v>
      </c>
    </row>
    <row r="32" spans="1:1" x14ac:dyDescent="0.35">
      <c r="A32" s="201" t="s">
        <v>73</v>
      </c>
    </row>
    <row r="33" spans="1:1" x14ac:dyDescent="0.35">
      <c r="A33" s="201" t="s">
        <v>77</v>
      </c>
    </row>
    <row r="34" spans="1:1" x14ac:dyDescent="0.35">
      <c r="A34" s="201" t="s">
        <v>79</v>
      </c>
    </row>
    <row r="35" spans="1:1" x14ac:dyDescent="0.35">
      <c r="A35" s="201" t="s">
        <v>81</v>
      </c>
    </row>
    <row r="36" spans="1:1" x14ac:dyDescent="0.35">
      <c r="A36" s="201" t="s">
        <v>83</v>
      </c>
    </row>
    <row r="37" spans="1:1" x14ac:dyDescent="0.35">
      <c r="A37" s="201" t="s">
        <v>85</v>
      </c>
    </row>
    <row r="38" spans="1:1" x14ac:dyDescent="0.35">
      <c r="A38" s="201" t="s">
        <v>87</v>
      </c>
    </row>
    <row r="39" spans="1:1" x14ac:dyDescent="0.35">
      <c r="A39" s="201" t="s">
        <v>90</v>
      </c>
    </row>
    <row r="40" spans="1:1" x14ac:dyDescent="0.35">
      <c r="A40" s="201" t="s">
        <v>92</v>
      </c>
    </row>
    <row r="41" spans="1:1" x14ac:dyDescent="0.35">
      <c r="A41" s="201" t="s">
        <v>94</v>
      </c>
    </row>
    <row r="42" spans="1:1" x14ac:dyDescent="0.35">
      <c r="A42" s="201" t="s">
        <v>96</v>
      </c>
    </row>
    <row r="43" spans="1:1" x14ac:dyDescent="0.35">
      <c r="A43" s="201" t="s">
        <v>98</v>
      </c>
    </row>
    <row r="44" spans="1:1" x14ac:dyDescent="0.35">
      <c r="A44" s="201" t="s">
        <v>100</v>
      </c>
    </row>
    <row r="46" spans="1:1" x14ac:dyDescent="0.35">
      <c r="A46" s="665" t="s">
        <v>5268</v>
      </c>
    </row>
    <row r="47" spans="1:1" x14ac:dyDescent="0.35">
      <c r="A47" s="201" t="s">
        <v>75</v>
      </c>
    </row>
    <row r="48" spans="1:1" x14ac:dyDescent="0.35">
      <c r="A48" s="201" t="s">
        <v>2370</v>
      </c>
    </row>
    <row r="49" spans="1:1" x14ac:dyDescent="0.35">
      <c r="A49" s="201" t="s">
        <v>2454</v>
      </c>
    </row>
    <row r="50" spans="1:1" x14ac:dyDescent="0.35">
      <c r="A50" s="201" t="s">
        <v>4036</v>
      </c>
    </row>
    <row r="51" spans="1:1" x14ac:dyDescent="0.35">
      <c r="A51" s="201" t="s">
        <v>2472</v>
      </c>
    </row>
    <row r="52" spans="1:1" x14ac:dyDescent="0.35">
      <c r="A52" s="201" t="s">
        <v>5269</v>
      </c>
    </row>
    <row r="54" spans="1:1" x14ac:dyDescent="0.35">
      <c r="A54" s="665" t="s">
        <v>5270</v>
      </c>
    </row>
    <row r="55" spans="1:1" x14ac:dyDescent="0.35">
      <c r="A55" s="201" t="s">
        <v>2838</v>
      </c>
    </row>
    <row r="56" spans="1:1" x14ac:dyDescent="0.35">
      <c r="A56" s="201" t="s">
        <v>4037</v>
      </c>
    </row>
    <row r="57" spans="1:1" x14ac:dyDescent="0.35">
      <c r="A57" s="201" t="s">
        <v>5250</v>
      </c>
    </row>
    <row r="58" spans="1:1" x14ac:dyDescent="0.35">
      <c r="A58" s="201" t="s">
        <v>4841</v>
      </c>
    </row>
    <row r="60" spans="1:1" x14ac:dyDescent="0.35">
      <c r="A60" s="665" t="s">
        <v>5271</v>
      </c>
    </row>
    <row r="61" spans="1:1" x14ac:dyDescent="0.35">
      <c r="A61" s="201" t="s">
        <v>5272</v>
      </c>
    </row>
    <row r="62" spans="1:1" x14ac:dyDescent="0.35">
      <c r="A62" s="201" t="s">
        <v>4401</v>
      </c>
    </row>
    <row r="63" spans="1:1" x14ac:dyDescent="0.35">
      <c r="A63" s="201" t="s">
        <v>5273</v>
      </c>
    </row>
    <row r="64" spans="1:1" x14ac:dyDescent="0.35">
      <c r="A64" s="201" t="s">
        <v>4809</v>
      </c>
    </row>
    <row r="65" spans="1:1" x14ac:dyDescent="0.35">
      <c r="A65" s="201" t="s">
        <v>4810</v>
      </c>
    </row>
    <row r="66" spans="1:1" x14ac:dyDescent="0.35">
      <c r="A66" s="201" t="s">
        <v>4038</v>
      </c>
    </row>
    <row r="67" spans="1:1" x14ac:dyDescent="0.35">
      <c r="A67" s="201" t="s">
        <v>4840</v>
      </c>
    </row>
    <row r="68" spans="1:1" x14ac:dyDescent="0.35">
      <c r="A68" s="201" t="s">
        <v>4838</v>
      </c>
    </row>
    <row r="69" spans="1:1" x14ac:dyDescent="0.35">
      <c r="A69" s="201" t="s">
        <v>5274</v>
      </c>
    </row>
    <row r="70" spans="1:1" x14ac:dyDescent="0.35">
      <c r="A70" s="201" t="s">
        <v>5275</v>
      </c>
    </row>
    <row r="71" spans="1:1" x14ac:dyDescent="0.35">
      <c r="A71" s="201" t="s">
        <v>5276</v>
      </c>
    </row>
    <row r="73" spans="1:1" x14ac:dyDescent="0.35">
      <c r="A73" s="665" t="s">
        <v>5277</v>
      </c>
    </row>
    <row r="74" spans="1:1" x14ac:dyDescent="0.35">
      <c r="A74" s="201" t="s">
        <v>5278</v>
      </c>
    </row>
    <row r="75" spans="1:1" x14ac:dyDescent="0.35">
      <c r="A75" s="201" t="s">
        <v>5279</v>
      </c>
    </row>
    <row r="76" spans="1:1" x14ac:dyDescent="0.35">
      <c r="A76" s="201" t="s">
        <v>2839</v>
      </c>
    </row>
    <row r="77" spans="1:1" x14ac:dyDescent="0.35">
      <c r="A77" s="201" t="s">
        <v>4839</v>
      </c>
    </row>
    <row r="78" spans="1:1" x14ac:dyDescent="0.35">
      <c r="A78" s="201" t="s">
        <v>5252</v>
      </c>
    </row>
    <row r="79" spans="1:1" x14ac:dyDescent="0.35">
      <c r="A79" s="201" t="s">
        <v>1154</v>
      </c>
    </row>
    <row r="80" spans="1:1" x14ac:dyDescent="0.35">
      <c r="A80" s="201" t="s">
        <v>5280</v>
      </c>
    </row>
    <row r="81" spans="1:1" x14ac:dyDescent="0.35">
      <c r="A81" s="201" t="s">
        <v>2750</v>
      </c>
    </row>
    <row r="82" spans="1:1" x14ac:dyDescent="0.35">
      <c r="A82" s="201" t="s">
        <v>4042</v>
      </c>
    </row>
    <row r="84" spans="1:1" x14ac:dyDescent="0.35">
      <c r="A84" s="665" t="s">
        <v>5281</v>
      </c>
    </row>
    <row r="85" spans="1:1" x14ac:dyDescent="0.35">
      <c r="A85" s="201" t="s">
        <v>4951</v>
      </c>
    </row>
    <row r="86" spans="1:1" x14ac:dyDescent="0.35">
      <c r="A86" s="201" t="s">
        <v>4039</v>
      </c>
    </row>
    <row r="87" spans="1:1" x14ac:dyDescent="0.35">
      <c r="A87" s="201" t="s">
        <v>5282</v>
      </c>
    </row>
    <row r="88" spans="1:1" x14ac:dyDescent="0.35">
      <c r="A88" s="201" t="s">
        <v>5283</v>
      </c>
    </row>
    <row r="89" spans="1:1" x14ac:dyDescent="0.35">
      <c r="A89" s="201" t="s">
        <v>4892</v>
      </c>
    </row>
    <row r="90" spans="1:1" x14ac:dyDescent="0.35">
      <c r="A90" s="201" t="s">
        <v>5256</v>
      </c>
    </row>
    <row r="91" spans="1:1" x14ac:dyDescent="0.35">
      <c r="A91" s="201" t="s">
        <v>4040</v>
      </c>
    </row>
    <row r="93" spans="1:1" x14ac:dyDescent="0.35">
      <c r="A93" s="665" t="s">
        <v>5235</v>
      </c>
    </row>
    <row r="94" spans="1:1" x14ac:dyDescent="0.35">
      <c r="A94" s="201" t="s">
        <v>5284</v>
      </c>
    </row>
    <row r="95" spans="1:1" x14ac:dyDescent="0.35">
      <c r="A95" s="201" t="s">
        <v>5285</v>
      </c>
    </row>
    <row r="96" spans="1:1" x14ac:dyDescent="0.35">
      <c r="A96" s="201" t="s">
        <v>4811</v>
      </c>
    </row>
    <row r="97" spans="1:1" x14ac:dyDescent="0.35">
      <c r="A97" s="201" t="s">
        <v>5286</v>
      </c>
    </row>
    <row r="98" spans="1:1" x14ac:dyDescent="0.35">
      <c r="A98" s="201" t="s">
        <v>4812</v>
      </c>
    </row>
    <row r="99" spans="1:1" x14ac:dyDescent="0.35">
      <c r="A99" s="201" t="s">
        <v>4808</v>
      </c>
    </row>
    <row r="100" spans="1:1" x14ac:dyDescent="0.35">
      <c r="A100" s="201" t="s">
        <v>4813</v>
      </c>
    </row>
  </sheetData>
  <hyperlinks>
    <hyperlink ref="A5" location="'Contents'!A1" display="Contents" xr:uid="{D06CCC17-4FC2-4E7E-AAE9-2AD1AE6C0853}"/>
    <hyperlink ref="A6" location="'Reading Guide'!A1" display="Reading Guide" xr:uid="{14CCB578-83BC-45C8-9B7B-98A602B2D568}"/>
    <hyperlink ref="A7" location="'Model Checks'!A1" display="Model Checks" xr:uid="{E971D313-8A63-43A7-B620-66AFF15BB02E}"/>
    <hyperlink ref="A8" location="'FD_Decision_Log'!A1" display="FD_Decision_Log" xr:uid="{515948AB-D2D4-4DB0-B6C7-E5D8AB44A8C5}"/>
    <hyperlink ref="A11" location="'Funding_Plan'!A1" display="Funding_Plan" xr:uid="{687C0D43-A161-480F-8300-174A60342811}"/>
    <hyperlink ref="A12" location="'BreakEven_Bridge'!A1" display="BreakEven_Bridge" xr:uid="{C9CED2F3-7902-4C56-9F48-7907D0CB198B}"/>
    <hyperlink ref="A13" location="'Valuation'!A1" display="Valuation" xr:uid="{ED027152-7234-4544-9F87-74A9B99E5931}"/>
    <hyperlink ref="A14" location="'Sensitivity_Y5_Breakeven'!A1" display="Sensitivity_Y5_Breakeven" xr:uid="{97C9B0F9-E7CD-4A02-B09F-041CF6871ABC}"/>
    <hyperlink ref="A15" location="'Scenario_CF'!A1" display="Scenario_CF" xr:uid="{F7EB058C-6B44-4D2D-81D7-86CC58B11A7F}"/>
    <hyperlink ref="A16" location="'Scenario_CashFlows'!A1" display="Scenario_CashFlows" xr:uid="{5B8A056F-D83A-4CA6-9114-D0DD7EEAF68A}"/>
    <hyperlink ref="A17" location="'Cohort_Economics'!A1" display="Cohort_Economics" xr:uid="{0FF40153-F4AE-482F-80BE-319ACE691547}"/>
    <hyperlink ref="A18" location="'Exec_Fin_Dashboard'!A1" display="Exec_Fin_Dashboard" xr:uid="{3C6A56BC-C69D-424E-AC59-762FF0FA0719}"/>
    <hyperlink ref="A19" location="'Assumptions_Log'!A1" display="Assumptions_Log" xr:uid="{292E449B-669F-4A05-B06D-C236FEA47C9D}"/>
    <hyperlink ref="A20" location="'Change_Log'!A1" display="Change_Log" xr:uid="{7154C3BE-BD98-449F-AFE5-B943C561C3EA}"/>
    <hyperlink ref="A23" location="'00_TOC'!A1" display="00_TOC" xr:uid="{02E7618B-F45D-43EE-AFBA-1A9A06AE63F0}"/>
    <hyperlink ref="A24" location="'Exec Summary'!A1" display="Exec Summary" xr:uid="{AAE178E4-235D-4113-861C-5EBA217A351C}"/>
    <hyperlink ref="A25" location="'00_Cover'!A1" display="00_Cover" xr:uid="{14D1A2D4-D5D5-4ECC-BC75-96F340E4A996}"/>
    <hyperlink ref="A26" location="'01_Executive_Overview'!A1" display="01_Executive_Overview" xr:uid="{75DB8EB5-C537-494B-8ECC-A85D95632289}"/>
    <hyperlink ref="A27" location="'Roadmap'!A1" display="Roadmap" xr:uid="{6893B74C-A4CF-4E2F-A67F-BEA0A4F5E9B4}"/>
    <hyperlink ref="A28" location="'Recommendations'!A1" display="Recommendations" xr:uid="{51D8D534-20DB-425D-90DC-4EF1AE770C2A}"/>
    <hyperlink ref="A31" location="'02_VMV_Startup'!A1" display="02_VMV_Startup" xr:uid="{C87894AE-89DA-4B2B-B8CA-F24B245A5046}"/>
    <hyperlink ref="A32" location="'03_Choices'!A1" display="03_Choices" xr:uid="{3C96D613-961C-48D1-987A-31B91E916ED7}"/>
    <hyperlink ref="A33" location="'05_Objektif'!A1" display="05_Objektif" xr:uid="{40C136E7-91A6-4A56-B24C-CB94E0CBED12}"/>
    <hyperlink ref="A34" location="'06_Prosbis_Inti'!A1" display="06_Prosbis_Inti" xr:uid="{83CEB1C9-B025-43E3-A581-D81D52DA1E88}"/>
    <hyperlink ref="A35" location="'07_Prosbis_Pendukung'!A1" display="07_Prosbis_Pendukung" xr:uid="{81E0479D-0E3E-4273-8E78-077971CCA3D4}"/>
    <hyperlink ref="A36" location="'08_Task_Interdependency'!A1" display="08_Task_Interdependency" xr:uid="{BAF0080E-42F4-44C1-AB7A-DF3C6EEDB253}"/>
    <hyperlink ref="A37" location="'09_Struktur_Organisasi'!A1" display="09_Struktur_Organisasi" xr:uid="{38BD7438-D49E-43F1-B8BA-83BDF09B9638}"/>
    <hyperlink ref="A38" location="'10_Matriks_RAM'!A1" display="10_Matriks_RAM" xr:uid="{0D055CC4-78D1-4FBA-8A85-7053BD1F5038}"/>
    <hyperlink ref="A39" location="'A1_Level4_Activity'!A1" display="A1_Level4_Activity" xr:uid="{7F280573-BF73-405E-B4EC-000A2B7204E2}"/>
    <hyperlink ref="A40" location="'A2_E2E_Flow'!A1" display="A2_E2E_Flow" xr:uid="{7ED582C6-8C0E-4F94-97F3-914D6B9F07A7}"/>
    <hyperlink ref="A41" location="'A3_KPI'!A1" display="A3_KPI" xr:uid="{C603905D-0634-4FA4-9CA7-BF7673D01397}"/>
    <hyperlink ref="A42" location="'A4_Risk_Control'!A1" display="A4_Risk_Control" xr:uid="{8A4E6714-1193-47A7-8575-7EE9EDE5CDA0}"/>
    <hyperlink ref="A43" location="'A5_SOP_Draft'!A1" display="A5_SOP_Draft" xr:uid="{F88F848E-93DE-4FCD-B3BD-8AC205154184}"/>
    <hyperlink ref="A44" location="'A6_Improvement'!A1" display="A6_Improvement" xr:uid="{A6189174-071D-4766-9203-973FDE74F241}"/>
    <hyperlink ref="A47" location="'04_Market_Sizing'!A1" display="04_Market_Sizing" xr:uid="{1441C377-9989-4396-9738-9C9EDCBBFEAB}"/>
    <hyperlink ref="A48" location="'Problem'!A1" display="Problem" xr:uid="{D2C83148-6AA6-4A4D-A0DE-F92104C153BA}"/>
    <hyperlink ref="A49" location="'Market'!A1" display="Market" xr:uid="{833B615A-A01F-4FFF-A203-E325D4840F1C}"/>
    <hyperlink ref="A50" location="'TAM SAM SOM'!A1" display="TAM SAM SOM" xr:uid="{093A9E8E-449C-406D-98F1-5C5012F1C5FB}"/>
    <hyperlink ref="A51" location="'Customers'!A1" display="Customers" xr:uid="{3C94AFAF-50A1-4C9F-B002-31ECB128FB43}"/>
    <hyperlink ref="A52" location="'Competitors'!A1" display="Competitors" xr:uid="{7D0FC285-A048-46F7-9F36-AEEC1972188A}"/>
    <hyperlink ref="A55" location="'Assumptions'!A1" display="Assumptions" xr:uid="{A85C6EDD-A459-42BC-9A72-4F86F38C3DC7}"/>
    <hyperlink ref="A56" location="'Assumptions (2)'!A1" display="Assumptions (2)" xr:uid="{483B029A-D7DA-440A-B1A7-35AB164A71B5}"/>
    <hyperlink ref="A57" location="'Master Input Data'!A1" display="Master Input Data" xr:uid="{4389DBF3-9A78-47EC-91D0-818CD6D93901}"/>
    <hyperlink ref="A58" location="'Master Component'!A1" display="Master Component" xr:uid="{EF4289F1-C0E5-482F-A8EF-6E73ADCBBA9E}"/>
    <hyperlink ref="A61" location="'System_Architecture'!A1" display="System_Architecture" xr:uid="{3F2672D1-91AC-4CDD-9076-B1AC01C224A2}"/>
    <hyperlink ref="A62" location="'Architecture_Trade_Study'!A1" display="Architecture_Trade_Study" xr:uid="{DAE053A1-6B02-4653-B0D2-7E80AE5BD325}"/>
    <hyperlink ref="A63" location="'Tech Stack'!A1" display="Tech Stack" xr:uid="{3B9C685E-3AE1-40BC-A989-3F73F5802DE2}"/>
    <hyperlink ref="A64" location="'Requirements_Matrix'!A1" display="Requirements_Matrix" xr:uid="{7C345E07-D228-4924-8BEA-329159FDC7E1}"/>
    <hyperlink ref="A65" location="'ICD_Connector'!A1" display="ICD_Connector" xr:uid="{C9D80CC2-0A38-4A0B-82B5-262D1DE1483F}"/>
    <hyperlink ref="A66" location="'SBP_BOM'!A1" display="SBP_BOM" xr:uid="{163F8AAC-F6B4-4433-83C6-03F76F1FCF12}"/>
    <hyperlink ref="A67" location="'VoltSwap_BOM'!A1" display="VoltSwap_BOM" xr:uid="{D7E5865B-B5A1-4E2B-95C6-44A6BAAF2EF1}"/>
    <hyperlink ref="A68" location="'VoltGrid_BOM'!A1" display="VoltGrid_BOM" xr:uid="{0BCF9C41-F78F-4717-AF0E-9ED889AED70D}"/>
    <hyperlink ref="A69" location="'VoltOS_BOM'!A1" display="VoltOS_BOM" xr:uid="{32B2AF43-1056-4834-B1A8-3F02DA31DA1C}"/>
    <hyperlink ref="A70" location="'Fabrication'!A1" display="Fabrication" xr:uid="{4B763F2E-5BD2-4BC7-8149-FC61F8FD7EF2}"/>
    <hyperlink ref="A71" location="'RollUp'!A1" display="RollUp" xr:uid="{207212A0-7426-4D3D-8163-7BFA521050CA}"/>
    <hyperlink ref="A74" location="'Cost_Drivers'!A1" display="Cost_Drivers" xr:uid="{3189EB6E-03A5-4933-858C-1BC37D87B121}"/>
    <hyperlink ref="A75" location="'Pricing'!A1" display="Pricing" xr:uid="{C46366D3-7311-430B-B5C0-3114D0C5936E}"/>
    <hyperlink ref="A76" location="'Revenue Model'!A1" display="Revenue Model" xr:uid="{582DDD43-D9E2-4959-9351-CC7DC8BEEBD5}"/>
    <hyperlink ref="A77" location="'Swap Hub Econ'!A1" display="Swap Hub Econ" xr:uid="{8CBF6FB8-71BC-49B0-975E-90460DE3C62C}"/>
    <hyperlink ref="A78" location="'Microgrid Econ'!A1" display="Microgrid Econ" xr:uid="{9B75AB33-560C-4AA7-95EF-68E89279EDE9}"/>
    <hyperlink ref="A79" location="'Battery Lifecycle'!A1" display="Battery Lifecycle" xr:uid="{DFB18DC8-5B1B-4078-B2E9-F84770F9FA27}"/>
    <hyperlink ref="A80" location="'Operational KPI'!A1" display="Operational KPI" xr:uid="{78C4F805-E12F-4506-8C84-882417FE3A53}"/>
    <hyperlink ref="A81" location="'Carbon'!A1" display="Carbon" xr:uid="{F15D6964-ED45-4AAC-8AB3-AAD474625961}"/>
    <hyperlink ref="A82" location="'ESG'!A1" display="ESG" xr:uid="{3EA97704-040A-44A5-8751-B860C154D3A0}"/>
    <hyperlink ref="A85" location="'Capex Schedule'!A1" display="Capex Schedule" xr:uid="{DB1DF280-7F78-4BE2-A762-913069862148}"/>
    <hyperlink ref="A86" location="'P&amp;L'!A1" display="P&amp;L" xr:uid="{5CE225B8-4A93-4583-88B5-7C70656906B7}"/>
    <hyperlink ref="A87" location="'Cash Flow'!A1" display="Cash Flow" xr:uid="{E547345A-37AF-4609-88DA-31F2FD164D6F}"/>
    <hyperlink ref="A88" location="'Balance Sheet'!A1" display="Balance Sheet" xr:uid="{876EDD00-A97F-4983-8D15-A936C4E64A75}"/>
    <hyperlink ref="A89" location="'Scenarios'!A1" display="Scenarios" xr:uid="{626C03C3-BFE5-4989-A626-B0A53E694590}"/>
    <hyperlink ref="A90" location="'Monthly_Runway'!A1" display="Monthly_Runway" xr:uid="{AEDE6E53-07BC-4729-94FE-9A8A75D20906}"/>
    <hyperlink ref="A91" location="'Investor Returns'!A1" display="Investor Returns" xr:uid="{68BEBCA8-98F9-4523-ACC6-8E58FCB1FCDD}"/>
    <hyperlink ref="A94" location="'Regulatory_Map'!A1" display="Regulatory_Map" xr:uid="{7DCD50D8-34AA-43D2-B718-2FBAA62EDDE3}"/>
    <hyperlink ref="A95" location="'Uncertainty_Register'!A1" display="Uncertainty_Register" xr:uid="{A4B57A30-41D5-4898-B5D9-143425AE9926}"/>
    <hyperlink ref="A96" location="'Safety_Risk_Register'!A1" display="Safety_Risk_Register" xr:uid="{3DE7DF62-8071-4419-BD56-E6F34587E024}"/>
    <hyperlink ref="A97" location="'Procurement_Recs'!A1" display="Procurement_Recs" xr:uid="{19AB98CE-2628-4A66-A4A4-B6BA0E106AFB}"/>
    <hyperlink ref="A98" location="'Procurement_RFQ_List'!A1" display="Procurement_RFQ_List" xr:uid="{5ED34F9D-9AC6-4E7D-8A6F-7E9E5918F453}"/>
    <hyperlink ref="A99" location="'Test_Plan'!A1" display="Test_Plan" xr:uid="{72696CBE-82FD-49B6-9C1E-22509F3BF510}"/>
    <hyperlink ref="A100" location="'Tropical_Test_Protocol'!A1" display="Tropical_Test_Protocol" xr:uid="{30B74914-16D9-40C4-8F76-64A43478A40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94E8B-198E-4408-87BF-7D0769AADB27}">
  <sheetPr>
    <tabColor rgb="FF1B5E20"/>
  </sheetPr>
  <dimension ref="A1:H37"/>
  <sheetViews>
    <sheetView workbookViewId="0">
      <pane ySplit="3" topLeftCell="A14" activePane="bottomLeft" state="frozen"/>
      <selection pane="bottomLeft"/>
    </sheetView>
  </sheetViews>
  <sheetFormatPr defaultRowHeight="14.5" x14ac:dyDescent="0.35"/>
  <cols>
    <col min="1" max="1" width="58.1796875" customWidth="1"/>
    <col min="3" max="8" width="17.26953125" customWidth="1"/>
  </cols>
  <sheetData>
    <row r="1" spans="1:8" ht="22" customHeight="1" x14ac:dyDescent="0.4">
      <c r="A1" s="567" t="s">
        <v>5289</v>
      </c>
    </row>
    <row r="2" spans="1:8" x14ac:dyDescent="0.35">
      <c r="A2" s="356" t="s">
        <v>5290</v>
      </c>
    </row>
    <row r="3" spans="1:8" x14ac:dyDescent="0.35">
      <c r="C3" s="568" t="s">
        <v>12</v>
      </c>
      <c r="D3" s="568" t="s">
        <v>13</v>
      </c>
      <c r="E3" s="568" t="s">
        <v>14</v>
      </c>
      <c r="F3" s="568" t="s">
        <v>15</v>
      </c>
      <c r="G3" s="568" t="s">
        <v>16</v>
      </c>
      <c r="H3" s="568" t="s">
        <v>2897</v>
      </c>
    </row>
    <row r="4" spans="1:8" x14ac:dyDescent="0.35">
      <c r="A4" s="349" t="s">
        <v>5291</v>
      </c>
    </row>
    <row r="5" spans="1:8" x14ac:dyDescent="0.35">
      <c r="A5" t="s">
        <v>5292</v>
      </c>
      <c r="C5" s="571">
        <v>3500000000</v>
      </c>
      <c r="D5" s="571">
        <v>6000000000</v>
      </c>
      <c r="E5" s="571">
        <v>20000000000</v>
      </c>
      <c r="F5" s="571">
        <v>30000000000</v>
      </c>
      <c r="G5" s="571">
        <v>0</v>
      </c>
      <c r="H5" s="572">
        <f>SUM(C5:G5)</f>
        <v>59500000000</v>
      </c>
    </row>
    <row r="6" spans="1:8" x14ac:dyDescent="0.35">
      <c r="A6" t="s">
        <v>5293</v>
      </c>
      <c r="C6" s="571">
        <v>0</v>
      </c>
      <c r="D6" s="571">
        <v>2000000000</v>
      </c>
      <c r="E6" s="571">
        <v>5000000000</v>
      </c>
      <c r="F6" s="571">
        <v>8000000000</v>
      </c>
      <c r="G6" s="571">
        <v>10000000000</v>
      </c>
      <c r="H6" s="572">
        <f>SUM(C6:G6)</f>
        <v>25000000000</v>
      </c>
    </row>
    <row r="7" spans="1:8" x14ac:dyDescent="0.35">
      <c r="A7" t="s">
        <v>5294</v>
      </c>
      <c r="C7" s="572">
        <f>C5+C6</f>
        <v>3500000000</v>
      </c>
      <c r="D7" s="572">
        <f>D5+D6</f>
        <v>8000000000</v>
      </c>
      <c r="E7" s="572">
        <f>E5+E6</f>
        <v>25000000000</v>
      </c>
      <c r="F7" s="572">
        <f>F5+F6</f>
        <v>38000000000</v>
      </c>
      <c r="G7" s="572">
        <f>G5+G6</f>
        <v>10000000000</v>
      </c>
      <c r="H7" s="572">
        <f>SUM(C7:G7)</f>
        <v>84500000000</v>
      </c>
    </row>
    <row r="8" spans="1:8" x14ac:dyDescent="0.35">
      <c r="A8" t="s">
        <v>5295</v>
      </c>
      <c r="C8" s="573">
        <v>-250331294</v>
      </c>
      <c r="D8" s="573">
        <v>-1436375808</v>
      </c>
      <c r="E8" s="573">
        <v>110502065</v>
      </c>
      <c r="F8" s="573">
        <v>8019105963</v>
      </c>
      <c r="G8" s="573">
        <v>-10116411077</v>
      </c>
      <c r="H8" s="572">
        <f>MIN(C8:G8)</f>
        <v>-10116411077</v>
      </c>
    </row>
    <row r="9" spans="1:8" x14ac:dyDescent="0.35">
      <c r="A9" s="346" t="s">
        <v>5605</v>
      </c>
      <c r="C9" s="574">
        <f>MIN(C8:G8)</f>
        <v>-10116411077</v>
      </c>
      <c r="D9" s="572"/>
      <c r="E9" s="572"/>
      <c r="F9" s="572"/>
      <c r="G9" s="572"/>
      <c r="H9" s="572"/>
    </row>
    <row r="11" spans="1:8" x14ac:dyDescent="0.35">
      <c r="A11" s="349" t="s">
        <v>5296</v>
      </c>
    </row>
    <row r="12" spans="1:8" x14ac:dyDescent="0.35">
      <c r="A12" s="385" t="s">
        <v>5297</v>
      </c>
      <c r="C12" s="575">
        <v>3000000000</v>
      </c>
      <c r="D12" s="576" t="s">
        <v>5606</v>
      </c>
      <c r="E12" s="572"/>
      <c r="F12" s="572"/>
      <c r="G12" s="572"/>
      <c r="H12" s="572"/>
    </row>
    <row r="13" spans="1:8" x14ac:dyDescent="0.35">
      <c r="A13" t="s">
        <v>5298</v>
      </c>
      <c r="C13" s="571">
        <v>3500000000</v>
      </c>
      <c r="D13" s="571">
        <v>1500000000</v>
      </c>
      <c r="E13" s="571">
        <v>0</v>
      </c>
      <c r="F13" s="571">
        <v>0</v>
      </c>
      <c r="G13" s="571">
        <v>6000000000</v>
      </c>
      <c r="H13" s="572">
        <f>SUM(C13:G13)</f>
        <v>11000000000</v>
      </c>
    </row>
    <row r="14" spans="1:8" x14ac:dyDescent="0.35">
      <c r="A14" t="s">
        <v>5299</v>
      </c>
      <c r="C14" s="571">
        <v>0</v>
      </c>
      <c r="D14" s="571">
        <v>0</v>
      </c>
      <c r="E14" s="571">
        <v>0</v>
      </c>
      <c r="F14" s="571">
        <v>0</v>
      </c>
      <c r="G14" s="571">
        <v>2500000000</v>
      </c>
      <c r="H14" s="572">
        <f>SUM(C14:G14)</f>
        <v>2500000000</v>
      </c>
    </row>
    <row r="15" spans="1:8" x14ac:dyDescent="0.35">
      <c r="A15" t="s">
        <v>5300</v>
      </c>
      <c r="C15" s="571">
        <v>0</v>
      </c>
      <c r="D15" s="571">
        <v>0</v>
      </c>
      <c r="E15" s="571">
        <v>0</v>
      </c>
      <c r="F15" s="571">
        <v>0</v>
      </c>
      <c r="G15" s="571">
        <v>2000000000</v>
      </c>
      <c r="H15" s="572">
        <f>SUM(C15:G15)</f>
        <v>2000000000</v>
      </c>
    </row>
    <row r="16" spans="1:8" x14ac:dyDescent="0.35">
      <c r="A16" t="s">
        <v>5301</v>
      </c>
      <c r="C16" s="572">
        <f>SUM(C13:C15)</f>
        <v>3500000000</v>
      </c>
      <c r="D16" s="572">
        <f>SUM(D13:D15)</f>
        <v>1500000000</v>
      </c>
      <c r="E16" s="572">
        <f>SUM(E13:E15)</f>
        <v>0</v>
      </c>
      <c r="F16" s="572">
        <f>SUM(F13:F15)</f>
        <v>0</v>
      </c>
      <c r="G16" s="572">
        <f>SUM(G13:G15)</f>
        <v>10500000000</v>
      </c>
      <c r="H16" s="572">
        <f>SUM(C16:G16)</f>
        <v>15500000000</v>
      </c>
    </row>
    <row r="17" spans="1:8" x14ac:dyDescent="0.35">
      <c r="A17" t="s">
        <v>5302</v>
      </c>
      <c r="C17" s="572">
        <f>C16</f>
        <v>3500000000</v>
      </c>
      <c r="D17" s="572">
        <f>C17+D16</f>
        <v>5000000000</v>
      </c>
      <c r="E17" s="572">
        <f>D17+E16</f>
        <v>5000000000</v>
      </c>
      <c r="F17" s="572">
        <f>E17+F16</f>
        <v>5000000000</v>
      </c>
      <c r="G17" s="572">
        <f>F17+G16</f>
        <v>15500000000</v>
      </c>
      <c r="H17" s="572">
        <f>SUM(C17:G17)</f>
        <v>34000000000</v>
      </c>
    </row>
    <row r="19" spans="1:8" x14ac:dyDescent="0.35">
      <c r="A19" s="349" t="s">
        <v>5303</v>
      </c>
    </row>
    <row r="20" spans="1:8" x14ac:dyDescent="0.35">
      <c r="A20" t="s">
        <v>5607</v>
      </c>
      <c r="C20" s="572">
        <f>C5+C13</f>
        <v>7000000000</v>
      </c>
      <c r="D20" s="572">
        <f>D5+D13</f>
        <v>7500000000</v>
      </c>
      <c r="E20" s="572">
        <f>E5+E13</f>
        <v>20000000000</v>
      </c>
      <c r="F20" s="572">
        <f>F5+F13</f>
        <v>30000000000</v>
      </c>
      <c r="G20" s="572">
        <f>G5+G13</f>
        <v>6000000000</v>
      </c>
      <c r="H20" s="572">
        <f>SUM(C20:G20)</f>
        <v>70500000000</v>
      </c>
    </row>
    <row r="21" spans="1:8" x14ac:dyDescent="0.35">
      <c r="A21" t="s">
        <v>5608</v>
      </c>
      <c r="C21" s="572">
        <f>C6+C14+C15</f>
        <v>0</v>
      </c>
      <c r="D21" s="572">
        <f>D6+D14+D15</f>
        <v>2000000000</v>
      </c>
      <c r="E21" s="572">
        <f>E6+E14+E15</f>
        <v>5000000000</v>
      </c>
      <c r="F21" s="572">
        <f>F6+F14+F15</f>
        <v>8000000000</v>
      </c>
      <c r="G21" s="572">
        <f>G6+G14+G15</f>
        <v>14500000000</v>
      </c>
      <c r="H21" s="572">
        <f>SUM(C21:G21)</f>
        <v>29500000000</v>
      </c>
    </row>
    <row r="22" spans="1:8" x14ac:dyDescent="0.35">
      <c r="A22" t="s">
        <v>5304</v>
      </c>
      <c r="C22" s="572">
        <f>'Cash Flow'!C22</f>
        <v>3249668706.1858172</v>
      </c>
      <c r="D22" s="572">
        <f>'Cash Flow'!D22</f>
        <v>4562400806.0112457</v>
      </c>
      <c r="E22" s="572">
        <f>'Cash Flow'!E22</f>
        <v>8772397948.4735603</v>
      </c>
      <c r="F22" s="572">
        <f>'Cash Flow'!F22</f>
        <v>21340017135.720364</v>
      </c>
      <c r="G22" s="572">
        <f>'Cash Flow'!G22</f>
        <v>20109810960.811039</v>
      </c>
      <c r="H22" s="572">
        <f>MIN(C22:G22)</f>
        <v>3249668706.1858172</v>
      </c>
    </row>
    <row r="23" spans="1:8" x14ac:dyDescent="0.35">
      <c r="A23" s="346" t="s">
        <v>5609</v>
      </c>
      <c r="C23" s="578">
        <f>MIN(C22:G22)</f>
        <v>3249668706.1858172</v>
      </c>
      <c r="D23" s="572"/>
      <c r="E23" s="577" t="str">
        <f>IF(MIN(C22:G22)&gt;=C12,"OK above buffer",IF(MIN(C22:G22)&gt;=0,"OK but thin","FAIL — still negative"))</f>
        <v>OK above buffer</v>
      </c>
      <c r="F23" s="572"/>
      <c r="G23" s="572"/>
      <c r="H23" s="572"/>
    </row>
    <row r="24" spans="1:8" x14ac:dyDescent="0.35">
      <c r="C24" s="572"/>
      <c r="D24" s="572"/>
      <c r="E24" s="572"/>
      <c r="F24" s="572"/>
      <c r="G24" s="572"/>
      <c r="H24" s="572"/>
    </row>
    <row r="25" spans="1:8" x14ac:dyDescent="0.35">
      <c r="A25" s="349" t="s">
        <v>5305</v>
      </c>
      <c r="C25" s="572"/>
      <c r="D25" s="572"/>
      <c r="E25" s="572"/>
      <c r="F25" s="572"/>
      <c r="G25" s="572"/>
      <c r="H25" s="572"/>
    </row>
    <row r="26" spans="1:8" x14ac:dyDescent="0.35">
      <c r="A26" t="s">
        <v>5306</v>
      </c>
      <c r="C26" s="572">
        <f>C20+C21</f>
        <v>7000000000</v>
      </c>
      <c r="D26" s="572">
        <f>C26+D20+D21</f>
        <v>16500000000</v>
      </c>
      <c r="E26" s="572">
        <f>D26+E20+E21</f>
        <v>41500000000</v>
      </c>
      <c r="F26" s="572">
        <f>E26+F20+F21</f>
        <v>79500000000</v>
      </c>
      <c r="G26" s="572">
        <f>F26+G20+G21</f>
        <v>100000000000</v>
      </c>
      <c r="H26" s="572"/>
    </row>
    <row r="27" spans="1:8" x14ac:dyDescent="0.35">
      <c r="A27" t="s">
        <v>5307</v>
      </c>
      <c r="C27" s="572">
        <f>'Balance Sheet'!C10</f>
        <v>2679895496.4443197</v>
      </c>
      <c r="D27" s="572">
        <f>'Balance Sheet'!D10</f>
        <v>9138772580.4572678</v>
      </c>
      <c r="E27" s="572">
        <f>'Balance Sheet'!E10</f>
        <v>28321152319.600864</v>
      </c>
      <c r="F27" s="572">
        <f>'Balance Sheet'!F10</f>
        <v>56838415286.073563</v>
      </c>
      <c r="G27" s="572">
        <f>'Balance Sheet'!G10</f>
        <v>91327073894.934006</v>
      </c>
      <c r="H27" s="572"/>
    </row>
    <row r="28" spans="1:8" x14ac:dyDescent="0.35">
      <c r="A28" t="s">
        <v>5308</v>
      </c>
      <c r="C28" s="572">
        <f>C26-C27</f>
        <v>4320104503.5556803</v>
      </c>
      <c r="D28" s="572">
        <f>D26-D27</f>
        <v>7361227419.5427322</v>
      </c>
      <c r="E28" s="572">
        <f>E26-E27</f>
        <v>13178847680.399136</v>
      </c>
      <c r="F28" s="572">
        <f>F26-F27</f>
        <v>22661584713.926437</v>
      </c>
      <c r="G28" s="572">
        <f>G26-G27</f>
        <v>8672926105.0659943</v>
      </c>
      <c r="H28" s="572"/>
    </row>
    <row r="29" spans="1:8" x14ac:dyDescent="0.35">
      <c r="A29" t="s">
        <v>1487</v>
      </c>
      <c r="C29" s="579" t="str">
        <f>IF(MIN(C28:G28)&gt;=0,"OK fully funded","GAP remains")</f>
        <v>OK fully funded</v>
      </c>
    </row>
    <row r="31" spans="1:8" x14ac:dyDescent="0.35">
      <c r="A31" s="349" t="s">
        <v>5309</v>
      </c>
    </row>
    <row r="32" spans="1:8" x14ac:dyDescent="0.35">
      <c r="A32" s="385" t="s">
        <v>5310</v>
      </c>
      <c r="C32" s="575">
        <v>120000000000</v>
      </c>
      <c r="D32" s="570" t="s">
        <v>5610</v>
      </c>
    </row>
    <row r="33" spans="1:3" x14ac:dyDescent="0.35">
      <c r="A33" t="s">
        <v>5311</v>
      </c>
      <c r="C33" s="572">
        <f>H13</f>
        <v>11000000000</v>
      </c>
    </row>
    <row r="34" spans="1:3" x14ac:dyDescent="0.35">
      <c r="A34" t="s">
        <v>5312</v>
      </c>
      <c r="C34" s="572">
        <f>C32+C33</f>
        <v>131000000000</v>
      </c>
    </row>
    <row r="35" spans="1:3" x14ac:dyDescent="0.35">
      <c r="A35" t="s">
        <v>5313</v>
      </c>
      <c r="C35" s="191">
        <f>C33/C34</f>
        <v>8.3969465648854963E-2</v>
      </c>
    </row>
    <row r="36" spans="1:3" x14ac:dyDescent="0.35">
      <c r="A36" t="s">
        <v>5314</v>
      </c>
      <c r="C36" s="191">
        <f>1-C35</f>
        <v>0.91603053435114501</v>
      </c>
    </row>
    <row r="37" spans="1:3" x14ac:dyDescent="0.35">
      <c r="A37" s="346" t="s">
        <v>5288</v>
      </c>
      <c r="C37" s="570" t="s">
        <v>5315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52C48-9CF3-4335-AC22-3AC0EBCA8AAB}">
  <sheetPr>
    <tabColor rgb="FF0F5132"/>
  </sheetPr>
  <dimension ref="A1:C100"/>
  <sheetViews>
    <sheetView workbookViewId="0">
      <pane ySplit="2" topLeftCell="A11" activePane="bottomLeft" state="frozen"/>
      <selection pane="bottomLeft" activeCell="A39" sqref="A39:XFD39"/>
    </sheetView>
  </sheetViews>
  <sheetFormatPr defaultRowHeight="14.5" x14ac:dyDescent="0.35"/>
  <cols>
    <col min="1" max="1" width="95.90625" bestFit="1" customWidth="1"/>
    <col min="2" max="2" width="33.6328125" customWidth="1"/>
    <col min="3" max="3" width="78.1796875" customWidth="1"/>
  </cols>
  <sheetData>
    <row r="1" spans="1:3" ht="21" x14ac:dyDescent="0.5">
      <c r="A1" s="659" t="s">
        <v>5742</v>
      </c>
      <c r="B1" s="659"/>
      <c r="C1" s="659"/>
    </row>
    <row r="2" spans="1:3" x14ac:dyDescent="0.35">
      <c r="A2" s="356" t="s">
        <v>5743</v>
      </c>
    </row>
    <row r="4" spans="1:3" ht="17" x14ac:dyDescent="0.4">
      <c r="A4" s="637" t="s">
        <v>5744</v>
      </c>
    </row>
    <row r="5" spans="1:3" x14ac:dyDescent="0.35">
      <c r="A5" s="556" t="s">
        <v>5745</v>
      </c>
      <c r="B5" s="556" t="s">
        <v>4034</v>
      </c>
      <c r="C5" s="556" t="s">
        <v>5746</v>
      </c>
    </row>
    <row r="6" spans="1:3" x14ac:dyDescent="0.35">
      <c r="A6">
        <v>1</v>
      </c>
      <c r="B6" s="655" t="s">
        <v>5593</v>
      </c>
      <c r="C6" t="s">
        <v>5747</v>
      </c>
    </row>
    <row r="7" spans="1:3" x14ac:dyDescent="0.35">
      <c r="A7">
        <v>2</v>
      </c>
      <c r="B7" s="655" t="s">
        <v>68</v>
      </c>
      <c r="C7" t="s">
        <v>5748</v>
      </c>
    </row>
    <row r="8" spans="1:3" x14ac:dyDescent="0.35">
      <c r="A8">
        <v>3</v>
      </c>
      <c r="B8" s="655" t="s">
        <v>5592</v>
      </c>
      <c r="C8" t="s">
        <v>5749</v>
      </c>
    </row>
    <row r="9" spans="1:3" ht="29" x14ac:dyDescent="0.35">
      <c r="A9">
        <v>4</v>
      </c>
      <c r="B9" s="655" t="s">
        <v>5750</v>
      </c>
      <c r="C9" s="344" t="s">
        <v>5769</v>
      </c>
    </row>
    <row r="10" spans="1:3" x14ac:dyDescent="0.35">
      <c r="A10">
        <v>5</v>
      </c>
      <c r="B10" s="655" t="s">
        <v>5590</v>
      </c>
      <c r="C10" t="s">
        <v>5751</v>
      </c>
    </row>
    <row r="11" spans="1:3" x14ac:dyDescent="0.35">
      <c r="A11">
        <v>6</v>
      </c>
      <c r="B11" s="201" t="s">
        <v>5781</v>
      </c>
      <c r="C11" t="s">
        <v>5752</v>
      </c>
    </row>
    <row r="12" spans="1:3" x14ac:dyDescent="0.35">
      <c r="B12" s="656"/>
    </row>
    <row r="13" spans="1:3" ht="17" x14ac:dyDescent="0.4">
      <c r="A13" s="637" t="s">
        <v>5753</v>
      </c>
      <c r="B13" s="656"/>
    </row>
    <row r="14" spans="1:3" x14ac:dyDescent="0.35">
      <c r="A14" s="556" t="s">
        <v>820</v>
      </c>
      <c r="B14" s="657" t="s">
        <v>5754</v>
      </c>
      <c r="C14" s="556" t="s">
        <v>5755</v>
      </c>
    </row>
    <row r="15" spans="1:3" x14ac:dyDescent="0.35">
      <c r="A15">
        <v>1</v>
      </c>
      <c r="B15" s="201" t="s">
        <v>5624</v>
      </c>
      <c r="C15" t="s">
        <v>5783</v>
      </c>
    </row>
    <row r="16" spans="1:3" x14ac:dyDescent="0.35">
      <c r="A16">
        <v>2</v>
      </c>
      <c r="B16" s="655" t="s">
        <v>5624</v>
      </c>
      <c r="C16" t="s">
        <v>5770</v>
      </c>
    </row>
    <row r="17" spans="1:3" x14ac:dyDescent="0.35">
      <c r="A17">
        <v>3</v>
      </c>
      <c r="B17" s="655" t="s">
        <v>68</v>
      </c>
      <c r="C17" t="s">
        <v>5756</v>
      </c>
    </row>
    <row r="18" spans="1:3" x14ac:dyDescent="0.35">
      <c r="A18">
        <v>4</v>
      </c>
      <c r="B18" s="655" t="s">
        <v>2454</v>
      </c>
      <c r="C18" t="s">
        <v>5757</v>
      </c>
    </row>
    <row r="19" spans="1:3" x14ac:dyDescent="0.35">
      <c r="A19">
        <v>5</v>
      </c>
      <c r="B19" s="655" t="s">
        <v>5272</v>
      </c>
      <c r="C19" t="s">
        <v>5758</v>
      </c>
    </row>
    <row r="20" spans="1:3" x14ac:dyDescent="0.35">
      <c r="A20">
        <v>6</v>
      </c>
      <c r="B20" s="655" t="s">
        <v>2838</v>
      </c>
      <c r="C20" t="s">
        <v>5759</v>
      </c>
    </row>
    <row r="21" spans="1:3" x14ac:dyDescent="0.35">
      <c r="A21">
        <v>7</v>
      </c>
      <c r="B21" s="655" t="s">
        <v>2839</v>
      </c>
      <c r="C21" t="s">
        <v>5760</v>
      </c>
    </row>
    <row r="22" spans="1:3" x14ac:dyDescent="0.35">
      <c r="A22">
        <v>8</v>
      </c>
      <c r="B22" s="655" t="s">
        <v>4839</v>
      </c>
      <c r="C22" t="s">
        <v>5761</v>
      </c>
    </row>
    <row r="23" spans="1:3" x14ac:dyDescent="0.35">
      <c r="A23">
        <v>9</v>
      </c>
      <c r="B23" s="655" t="s">
        <v>5278</v>
      </c>
      <c r="C23" t="s">
        <v>5762</v>
      </c>
    </row>
    <row r="24" spans="1:3" x14ac:dyDescent="0.35">
      <c r="A24">
        <v>10</v>
      </c>
      <c r="B24" s="655" t="s">
        <v>4039</v>
      </c>
      <c r="C24" t="s">
        <v>5763</v>
      </c>
    </row>
    <row r="25" spans="1:3" x14ac:dyDescent="0.35">
      <c r="A25">
        <v>11</v>
      </c>
      <c r="B25" s="655" t="s">
        <v>5590</v>
      </c>
      <c r="C25" t="s">
        <v>5764</v>
      </c>
    </row>
    <row r="26" spans="1:3" ht="29" x14ac:dyDescent="0.35">
      <c r="A26">
        <v>12</v>
      </c>
      <c r="B26" s="655" t="s">
        <v>5750</v>
      </c>
      <c r="C26" s="344" t="s">
        <v>5771</v>
      </c>
    </row>
    <row r="27" spans="1:3" x14ac:dyDescent="0.35">
      <c r="A27">
        <v>13</v>
      </c>
      <c r="B27" s="655" t="s">
        <v>5765</v>
      </c>
      <c r="C27" t="s">
        <v>5766</v>
      </c>
    </row>
    <row r="28" spans="1:3" x14ac:dyDescent="0.35">
      <c r="A28">
        <v>14</v>
      </c>
      <c r="B28" s="655" t="s">
        <v>5457</v>
      </c>
      <c r="C28" t="s">
        <v>5767</v>
      </c>
    </row>
    <row r="29" spans="1:3" x14ac:dyDescent="0.35">
      <c r="A29">
        <v>15</v>
      </c>
      <c r="B29" s="201" t="s">
        <v>5781</v>
      </c>
      <c r="C29" t="s">
        <v>5768</v>
      </c>
    </row>
    <row r="30" spans="1:3" ht="29" x14ac:dyDescent="0.35">
      <c r="A30">
        <v>16</v>
      </c>
      <c r="B30" s="201" t="s">
        <v>5594</v>
      </c>
      <c r="C30" s="344" t="s">
        <v>5784</v>
      </c>
    </row>
    <row r="31" spans="1:3" x14ac:dyDescent="0.35">
      <c r="B31" s="656"/>
    </row>
    <row r="32" spans="1:3" ht="17" x14ac:dyDescent="0.4">
      <c r="A32" s="559" t="s">
        <v>4014</v>
      </c>
      <c r="B32" s="656"/>
    </row>
    <row r="33" spans="1:3" x14ac:dyDescent="0.35">
      <c r="A33" s="654" t="s">
        <v>5772</v>
      </c>
      <c r="B33" s="658"/>
      <c r="C33" s="653"/>
    </row>
    <row r="34" spans="1:3" x14ac:dyDescent="0.35">
      <c r="B34" s="656"/>
    </row>
    <row r="35" spans="1:3" ht="17" x14ac:dyDescent="0.35">
      <c r="A35" s="660" t="s">
        <v>5773</v>
      </c>
      <c r="B35" s="661"/>
      <c r="C35" s="561"/>
    </row>
    <row r="36" spans="1:3" ht="29" x14ac:dyDescent="0.35">
      <c r="A36" s="662" t="s">
        <v>5774</v>
      </c>
      <c r="B36" s="661"/>
      <c r="C36" s="561"/>
    </row>
    <row r="37" spans="1:3" ht="29" x14ac:dyDescent="0.35">
      <c r="A37" s="662" t="s">
        <v>5775</v>
      </c>
      <c r="B37" s="661"/>
      <c r="C37" s="561"/>
    </row>
    <row r="38" spans="1:3" ht="29" x14ac:dyDescent="0.35">
      <c r="A38" s="662" t="s">
        <v>5776</v>
      </c>
      <c r="B38" s="661"/>
      <c r="C38" s="561"/>
    </row>
    <row r="39" spans="1:3" ht="29" x14ac:dyDescent="0.35">
      <c r="A39" s="662" t="s">
        <v>5777</v>
      </c>
      <c r="B39" s="661"/>
      <c r="C39" s="561"/>
    </row>
    <row r="40" spans="1:3" ht="29" x14ac:dyDescent="0.35">
      <c r="A40" s="662" t="s">
        <v>5778</v>
      </c>
      <c r="B40" s="661"/>
      <c r="C40" s="561"/>
    </row>
    <row r="41" spans="1:3" ht="43.5" x14ac:dyDescent="0.35">
      <c r="A41" s="662" t="s">
        <v>5786</v>
      </c>
      <c r="B41" s="656"/>
    </row>
    <row r="42" spans="1:3" x14ac:dyDescent="0.35">
      <c r="B42" s="656"/>
    </row>
    <row r="43" spans="1:3" x14ac:dyDescent="0.35">
      <c r="B43" s="656"/>
    </row>
    <row r="44" spans="1:3" x14ac:dyDescent="0.35">
      <c r="B44" s="656"/>
    </row>
    <row r="45" spans="1:3" x14ac:dyDescent="0.35">
      <c r="B45" s="656"/>
    </row>
    <row r="46" spans="1:3" x14ac:dyDescent="0.35">
      <c r="B46" s="656"/>
    </row>
    <row r="47" spans="1:3" x14ac:dyDescent="0.35">
      <c r="B47" s="656"/>
    </row>
    <row r="48" spans="1:3" x14ac:dyDescent="0.35">
      <c r="B48" s="656"/>
    </row>
    <row r="49" spans="2:2" x14ac:dyDescent="0.35">
      <c r="B49" s="656"/>
    </row>
    <row r="50" spans="2:2" x14ac:dyDescent="0.35">
      <c r="B50" s="656"/>
    </row>
    <row r="51" spans="2:2" x14ac:dyDescent="0.35">
      <c r="B51" s="656"/>
    </row>
    <row r="52" spans="2:2" x14ac:dyDescent="0.35">
      <c r="B52" s="656"/>
    </row>
    <row r="53" spans="2:2" x14ac:dyDescent="0.35">
      <c r="B53" s="656"/>
    </row>
    <row r="54" spans="2:2" x14ac:dyDescent="0.35">
      <c r="B54" s="656"/>
    </row>
    <row r="55" spans="2:2" x14ac:dyDescent="0.35">
      <c r="B55" s="656"/>
    </row>
    <row r="56" spans="2:2" x14ac:dyDescent="0.35">
      <c r="B56" s="656"/>
    </row>
    <row r="57" spans="2:2" x14ac:dyDescent="0.35">
      <c r="B57" s="656"/>
    </row>
    <row r="58" spans="2:2" x14ac:dyDescent="0.35">
      <c r="B58" s="656"/>
    </row>
    <row r="59" spans="2:2" x14ac:dyDescent="0.35">
      <c r="B59" s="656"/>
    </row>
    <row r="60" spans="2:2" x14ac:dyDescent="0.35">
      <c r="B60" s="656"/>
    </row>
    <row r="61" spans="2:2" x14ac:dyDescent="0.35">
      <c r="B61" s="656"/>
    </row>
    <row r="62" spans="2:2" x14ac:dyDescent="0.35">
      <c r="B62" s="656"/>
    </row>
    <row r="63" spans="2:2" x14ac:dyDescent="0.35">
      <c r="B63" s="656"/>
    </row>
    <row r="64" spans="2:2" x14ac:dyDescent="0.35">
      <c r="B64" s="656"/>
    </row>
    <row r="65" spans="2:2" x14ac:dyDescent="0.35">
      <c r="B65" s="656"/>
    </row>
    <row r="66" spans="2:2" x14ac:dyDescent="0.35">
      <c r="B66" s="656"/>
    </row>
    <row r="67" spans="2:2" x14ac:dyDescent="0.35">
      <c r="B67" s="656"/>
    </row>
    <row r="68" spans="2:2" x14ac:dyDescent="0.35">
      <c r="B68" s="656"/>
    </row>
    <row r="69" spans="2:2" x14ac:dyDescent="0.35">
      <c r="B69" s="656"/>
    </row>
    <row r="70" spans="2:2" x14ac:dyDescent="0.35">
      <c r="B70" s="656"/>
    </row>
    <row r="71" spans="2:2" x14ac:dyDescent="0.35">
      <c r="B71" s="656"/>
    </row>
    <row r="72" spans="2:2" x14ac:dyDescent="0.35">
      <c r="B72" s="656"/>
    </row>
    <row r="73" spans="2:2" x14ac:dyDescent="0.35">
      <c r="B73" s="656"/>
    </row>
    <row r="74" spans="2:2" x14ac:dyDescent="0.35">
      <c r="B74" s="656"/>
    </row>
    <row r="75" spans="2:2" x14ac:dyDescent="0.35">
      <c r="B75" s="656"/>
    </row>
    <row r="76" spans="2:2" x14ac:dyDescent="0.35">
      <c r="B76" s="656"/>
    </row>
    <row r="77" spans="2:2" x14ac:dyDescent="0.35">
      <c r="B77" s="656"/>
    </row>
    <row r="78" spans="2:2" x14ac:dyDescent="0.35">
      <c r="B78" s="656"/>
    </row>
    <row r="79" spans="2:2" x14ac:dyDescent="0.35">
      <c r="B79" s="656"/>
    </row>
    <row r="80" spans="2:2" x14ac:dyDescent="0.35">
      <c r="B80" s="656"/>
    </row>
    <row r="81" spans="2:2" x14ac:dyDescent="0.35">
      <c r="B81" s="656"/>
    </row>
    <row r="82" spans="2:2" x14ac:dyDescent="0.35">
      <c r="B82" s="656"/>
    </row>
    <row r="83" spans="2:2" x14ac:dyDescent="0.35">
      <c r="B83" s="656"/>
    </row>
    <row r="84" spans="2:2" x14ac:dyDescent="0.35">
      <c r="B84" s="656"/>
    </row>
    <row r="85" spans="2:2" x14ac:dyDescent="0.35">
      <c r="B85" s="656"/>
    </row>
    <row r="86" spans="2:2" x14ac:dyDescent="0.35">
      <c r="B86" s="656"/>
    </row>
    <row r="87" spans="2:2" x14ac:dyDescent="0.35">
      <c r="B87" s="656"/>
    </row>
    <row r="88" spans="2:2" x14ac:dyDescent="0.35">
      <c r="B88" s="656"/>
    </row>
    <row r="89" spans="2:2" x14ac:dyDescent="0.35">
      <c r="B89" s="656"/>
    </row>
    <row r="90" spans="2:2" x14ac:dyDescent="0.35">
      <c r="B90" s="656"/>
    </row>
    <row r="91" spans="2:2" x14ac:dyDescent="0.35">
      <c r="B91" s="656"/>
    </row>
    <row r="92" spans="2:2" x14ac:dyDescent="0.35">
      <c r="B92" s="656"/>
    </row>
    <row r="93" spans="2:2" x14ac:dyDescent="0.35">
      <c r="B93" s="656"/>
    </row>
    <row r="94" spans="2:2" x14ac:dyDescent="0.35">
      <c r="B94" s="656"/>
    </row>
    <row r="95" spans="2:2" x14ac:dyDescent="0.35">
      <c r="B95" s="656"/>
    </row>
    <row r="96" spans="2:2" x14ac:dyDescent="0.35">
      <c r="B96" s="656"/>
    </row>
    <row r="97" spans="2:2" x14ac:dyDescent="0.35">
      <c r="B97" s="656"/>
    </row>
    <row r="98" spans="2:2" x14ac:dyDescent="0.35">
      <c r="B98" s="656"/>
    </row>
    <row r="99" spans="2:2" x14ac:dyDescent="0.35">
      <c r="B99" s="656"/>
    </row>
    <row r="100" spans="2:2" x14ac:dyDescent="0.35">
      <c r="B100" s="656"/>
    </row>
  </sheetData>
  <mergeCells count="2">
    <mergeCell ref="A33:C33"/>
    <mergeCell ref="A1:C1"/>
  </mergeCells>
  <hyperlinks>
    <hyperlink ref="B6" location="'Exec_Fin_Dashboard'!A1" display="Exec_Fin_Dashboard" xr:uid="{C994E96F-E3B6-483E-BDA7-4C6030B832C9}"/>
    <hyperlink ref="B7" location="'01_Executive_Overview'!A1" display="01_Executive_Overview" xr:uid="{B6266CE0-76E3-42AF-B9AE-429EABF9C56D}"/>
    <hyperlink ref="B8" location="'Cohort_Economics'!A1" display="Cohort_Economics" xr:uid="{87B88C39-3F00-4912-B129-0152657759C8}"/>
    <hyperlink ref="B9" location="'BreakEven_Bridge'!A1" display="BreakEven_Bridge" xr:uid="{FCED6053-77F9-482C-874D-1B564E7BF52E}"/>
    <hyperlink ref="B10" location="'Funding_Plan'!A1" display="Funding_Plan" xr:uid="{4F922DF0-5712-4D63-BFF7-B4AE26D914C3}"/>
    <hyperlink ref="B11" location="'FD_Decision_Log'!A1" display="FD_Decision_Log" xr:uid="{987EFFD1-B797-4CD1-9E24-96D063BCA942}"/>
    <hyperlink ref="B15" location="'Contents'!A1" display="Contents" xr:uid="{0E351E0C-810F-449B-AB0A-CB3BA1F46291}"/>
    <hyperlink ref="B16" location="'Contents'!A1" display="Contents" xr:uid="{87AF02F7-03E8-42F1-A7BD-E35C3965155E}"/>
    <hyperlink ref="B17" location="'01_Executive_Overview'!A1" display="01_Executive_Overview" xr:uid="{D774F7D0-3351-4B76-8585-91323AB76899}"/>
    <hyperlink ref="B18" location="'Market'!A1" display="Market" xr:uid="{8F400FFA-4ABA-4B72-BE6D-AD4C1EE29AD3}"/>
    <hyperlink ref="B19" location="'System_Architecture'!A1" display="System_Architecture" xr:uid="{1FDE246D-D5AA-4B94-8BF5-1E777C964C48}"/>
    <hyperlink ref="B20" location="'Assumptions'!A1" display="Assumptions" xr:uid="{784AE0E5-C855-478A-B60B-7D58F3D7E1F6}"/>
    <hyperlink ref="B21" location="'Revenue Model'!A1" display="Revenue Model" xr:uid="{5B6A979D-A709-4BAE-98FA-F39DD312C25C}"/>
    <hyperlink ref="B22" location="'Swap Hub Econ'!A1" display="Swap Hub Econ" xr:uid="{F4DF83A6-34C7-4020-A0EC-6DE0DE868649}"/>
    <hyperlink ref="B23" location="'Cost_Drivers'!A1" display="Cost_Drivers" xr:uid="{CC6E7E51-FE3F-4912-A5A9-3334662A9415}"/>
    <hyperlink ref="B24" location="'P&amp;L'!A1" display="P&amp;L" xr:uid="{F2126D2E-AC78-410F-9933-AA9420DD8105}"/>
    <hyperlink ref="B25" location="'Funding_Plan'!A1" display="Funding_Plan" xr:uid="{05FC382F-23BA-4444-906C-DABA9DDEF2B7}"/>
    <hyperlink ref="B26" location="'BreakEven_Bridge'!A1" display="BreakEven_Bridge" xr:uid="{002C3AEA-F082-4F84-A5F3-C7DFE0C61EFE}"/>
    <hyperlink ref="B27" location="'Scenario_CashFlows'!A1" display="Scenario_CashFlows" xr:uid="{726595AD-ED93-4EED-B2B6-4E4476AAB921}"/>
    <hyperlink ref="B28" location="'Valuation'!A1" display="Valuation" xr:uid="{8986123D-D58D-46C1-9F05-00050199083B}"/>
    <hyperlink ref="B29" location="'FD_Decision_Log'!A1" display="FD_Decision_Log" xr:uid="{E8082A0B-D068-4FF8-BB9B-C1D052741E11}"/>
    <hyperlink ref="B30" location="'Assumptions_Log'!A1" display="Assumptions_Log" xr:uid="{D8991524-C794-4589-AB3B-FBA514638AF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A024C-ABE6-48F9-8F2E-E0EBAC7D3B77}">
  <sheetPr>
    <tabColor rgb="FF1B5E20"/>
  </sheetPr>
  <dimension ref="A1:I74"/>
  <sheetViews>
    <sheetView workbookViewId="0">
      <pane ySplit="3" topLeftCell="A64" activePane="bottomLeft" state="frozen"/>
      <selection pane="bottomLeft"/>
    </sheetView>
  </sheetViews>
  <sheetFormatPr defaultRowHeight="14.5" x14ac:dyDescent="0.35"/>
  <cols>
    <col min="1" max="1" width="54.54296875" customWidth="1"/>
    <col min="2" max="7" width="16.7265625" customWidth="1"/>
  </cols>
  <sheetData>
    <row r="1" spans="1:4" ht="19" x14ac:dyDescent="0.4">
      <c r="A1" s="567" t="s">
        <v>5316</v>
      </c>
    </row>
    <row r="2" spans="1:4" x14ac:dyDescent="0.35">
      <c r="A2" s="356" t="s">
        <v>5317</v>
      </c>
    </row>
    <row r="4" spans="1:4" x14ac:dyDescent="0.35">
      <c r="A4" s="349" t="s">
        <v>5318</v>
      </c>
    </row>
    <row r="5" spans="1:4" x14ac:dyDescent="0.35">
      <c r="A5" s="385" t="s">
        <v>5319</v>
      </c>
      <c r="C5" s="580">
        <v>6.8000000000000005E-2</v>
      </c>
      <c r="D5" s="570" t="s">
        <v>5320</v>
      </c>
    </row>
    <row r="6" spans="1:4" x14ac:dyDescent="0.35">
      <c r="A6" s="385" t="s">
        <v>5321</v>
      </c>
      <c r="C6" s="580">
        <v>8.5000000000000006E-2</v>
      </c>
      <c r="D6" s="570" t="s">
        <v>5322</v>
      </c>
    </row>
    <row r="7" spans="1:4" x14ac:dyDescent="0.35">
      <c r="A7" s="385" t="s">
        <v>5323</v>
      </c>
      <c r="C7" s="581">
        <v>1.3</v>
      </c>
      <c r="D7" s="570" t="s">
        <v>5324</v>
      </c>
    </row>
    <row r="8" spans="1:4" x14ac:dyDescent="0.35">
      <c r="A8" s="385" t="s">
        <v>5325</v>
      </c>
      <c r="C8" s="191">
        <f>C5+C7*C6</f>
        <v>0.17850000000000002</v>
      </c>
    </row>
    <row r="9" spans="1:4" x14ac:dyDescent="0.35">
      <c r="A9" s="385" t="s">
        <v>5326</v>
      </c>
      <c r="C9" s="580">
        <v>0.11</v>
      </c>
    </row>
    <row r="10" spans="1:4" x14ac:dyDescent="0.35">
      <c r="A10" s="385" t="s">
        <v>5327</v>
      </c>
      <c r="C10" s="191">
        <f>TaxRate</f>
        <v>0.22</v>
      </c>
    </row>
    <row r="11" spans="1:4" x14ac:dyDescent="0.35">
      <c r="A11" s="385" t="s">
        <v>5328</v>
      </c>
      <c r="C11" s="191">
        <f>C9*(1-C10)</f>
        <v>8.5800000000000001E-2</v>
      </c>
    </row>
    <row r="12" spans="1:4" x14ac:dyDescent="0.35">
      <c r="A12" s="385" t="s">
        <v>5329</v>
      </c>
      <c r="C12" s="580">
        <v>0.7</v>
      </c>
    </row>
    <row r="13" spans="1:4" x14ac:dyDescent="0.35">
      <c r="A13" s="385" t="s">
        <v>5330</v>
      </c>
      <c r="C13" s="191">
        <f>1-C12</f>
        <v>0.30000000000000004</v>
      </c>
    </row>
    <row r="14" spans="1:4" x14ac:dyDescent="0.35">
      <c r="A14" s="351" t="s">
        <v>5611</v>
      </c>
      <c r="C14" s="582">
        <f>C12*C8+C13*C11</f>
        <v>0.15069000000000002</v>
      </c>
    </row>
    <row r="15" spans="1:4" ht="101.5" x14ac:dyDescent="0.35">
      <c r="A15" s="583" t="s">
        <v>5331</v>
      </c>
      <c r="C15" s="584">
        <f>WACC</f>
        <v>0.12</v>
      </c>
      <c r="D15" s="594" t="s">
        <v>5332</v>
      </c>
    </row>
    <row r="17" spans="1:7" x14ac:dyDescent="0.35">
      <c r="A17" s="349" t="s">
        <v>5333</v>
      </c>
    </row>
    <row r="18" spans="1:7" x14ac:dyDescent="0.35">
      <c r="C18" s="568" t="s">
        <v>12</v>
      </c>
      <c r="D18" s="568" t="s">
        <v>13</v>
      </c>
      <c r="E18" s="568" t="s">
        <v>14</v>
      </c>
      <c r="F18" s="568" t="s">
        <v>15</v>
      </c>
      <c r="G18" s="568" t="s">
        <v>16</v>
      </c>
    </row>
    <row r="19" spans="1:7" x14ac:dyDescent="0.35">
      <c r="A19" t="s">
        <v>5334</v>
      </c>
      <c r="C19" s="572">
        <f>'P&amp;L'!C18</f>
        <v>-1217897449.0373402</v>
      </c>
      <c r="D19" s="572">
        <f>'P&amp;L'!D18</f>
        <v>-2447801820.9863787</v>
      </c>
      <c r="E19" s="572">
        <f>'P&amp;L'!E18</f>
        <v>-4210505920.3836727</v>
      </c>
      <c r="F19" s="572">
        <f>'P&amp;L'!F18</f>
        <v>-2766545093.964489</v>
      </c>
      <c r="G19" s="572">
        <f>'P&amp;L'!G18</f>
        <v>2643772069.2898655</v>
      </c>
    </row>
    <row r="20" spans="1:7" x14ac:dyDescent="0.35">
      <c r="A20" t="s">
        <v>5335</v>
      </c>
      <c r="C20" s="572">
        <f>-MAX(0,C19)*$C$10</f>
        <v>0</v>
      </c>
      <c r="D20" s="572">
        <f>-MAX(0,D19)*$C$10</f>
        <v>0</v>
      </c>
      <c r="E20" s="572">
        <f>-MAX(0,E19)*$C$10</f>
        <v>0</v>
      </c>
      <c r="F20" s="572">
        <f>-MAX(0,F19)*$C$10</f>
        <v>0</v>
      </c>
      <c r="G20" s="572">
        <f>-MAX(0,G19)*$C$10</f>
        <v>-581629855.24377036</v>
      </c>
    </row>
    <row r="21" spans="1:7" x14ac:dyDescent="0.35">
      <c r="A21" t="s">
        <v>5336</v>
      </c>
      <c r="C21" s="572">
        <f>C19+C20</f>
        <v>-1217897449.0373402</v>
      </c>
      <c r="D21" s="572">
        <f>D19+D20</f>
        <v>-2447801820.9863787</v>
      </c>
      <c r="E21" s="572">
        <f>E19+E20</f>
        <v>-4210505920.3836727</v>
      </c>
      <c r="F21" s="572">
        <f>F19+F20</f>
        <v>-2766545093.964489</v>
      </c>
      <c r="G21" s="572">
        <f>G19+G20</f>
        <v>2062142214.0460951</v>
      </c>
    </row>
    <row r="22" spans="1:7" x14ac:dyDescent="0.35">
      <c r="A22" t="s">
        <v>5337</v>
      </c>
      <c r="C22" s="572">
        <f>-'P&amp;L'!C17</f>
        <v>544232059.03734016</v>
      </c>
      <c r="D22" s="572">
        <f>-'P&amp;L'!D17</f>
        <v>1778251978.6055784</v>
      </c>
      <c r="E22" s="572">
        <f>-'P&amp;L'!E17</f>
        <v>5224545074.4897537</v>
      </c>
      <c r="F22" s="572">
        <f>-'P&amp;L'!F17</f>
        <v>10205055144.820993</v>
      </c>
      <c r="G22" s="572">
        <f>-'P&amp;L'!G17</f>
        <v>16331972988.075666</v>
      </c>
    </row>
    <row r="23" spans="1:7" x14ac:dyDescent="0.35">
      <c r="A23" t="s">
        <v>5338</v>
      </c>
      <c r="C23" s="572">
        <f>-'Capex Schedule'!C11</f>
        <v>-2679895496.4443197</v>
      </c>
      <c r="D23" s="572">
        <f>-'Capex Schedule'!D11</f>
        <v>-6458877084.012949</v>
      </c>
      <c r="E23" s="572">
        <f>-'Capex Schedule'!E11</f>
        <v>-19182379739.143597</v>
      </c>
      <c r="F23" s="572">
        <f>-'Capex Schedule'!F11</f>
        <v>-28517262966.472702</v>
      </c>
      <c r="G23" s="572">
        <f>-'Capex Schedule'!G11</f>
        <v>-34488658608.860443</v>
      </c>
    </row>
    <row r="24" spans="1:7" x14ac:dyDescent="0.35">
      <c r="A24" t="s">
        <v>5339</v>
      </c>
      <c r="C24" s="572">
        <f>'Cash Flow'!C8</f>
        <v>-196770407.36986303</v>
      </c>
      <c r="D24" s="572">
        <f>'Cash Flow'!D8</f>
        <v>-758840973.78082192</v>
      </c>
      <c r="E24" s="572">
        <f>'Cash Flow'!E8</f>
        <v>-2021662272.5001707</v>
      </c>
      <c r="F24" s="572">
        <f>'Cash Flow'!F8</f>
        <v>-3253627897.1369996</v>
      </c>
      <c r="G24" s="572">
        <f>'Cash Flow'!G8</f>
        <v>-4165662768.1706409</v>
      </c>
    </row>
    <row r="25" spans="1:7" x14ac:dyDescent="0.35">
      <c r="A25" s="188" t="s">
        <v>5340</v>
      </c>
      <c r="C25" s="577">
        <f>C21+C22+C23+C24</f>
        <v>-3550331293.8141828</v>
      </c>
      <c r="D25" s="577">
        <f>D21+D22+D23+D24</f>
        <v>-7887267900.174571</v>
      </c>
      <c r="E25" s="577">
        <f>E21+E22+E23+E24</f>
        <v>-20190002857.537685</v>
      </c>
      <c r="F25" s="577">
        <f>F21+F22+F23+F24</f>
        <v>-24332380812.753197</v>
      </c>
      <c r="G25" s="577">
        <f>G21+G22+G23+G24</f>
        <v>-20260206174.909325</v>
      </c>
    </row>
    <row r="26" spans="1:7" x14ac:dyDescent="0.35">
      <c r="A26" t="s">
        <v>5341</v>
      </c>
      <c r="C26" s="572">
        <v>1</v>
      </c>
      <c r="D26" s="572">
        <v>2</v>
      </c>
      <c r="E26" s="572">
        <v>3</v>
      </c>
      <c r="F26" s="572">
        <v>4</v>
      </c>
      <c r="G26" s="572">
        <v>5</v>
      </c>
    </row>
    <row r="27" spans="1:7" x14ac:dyDescent="0.35">
      <c r="A27" t="s">
        <v>5342</v>
      </c>
      <c r="C27" s="572">
        <f>1/(1+$C$14)^C26</f>
        <v>0.86904379111663432</v>
      </c>
      <c r="D27" s="572">
        <f>1/(1+$C$14)^D26</f>
        <v>0.75523711087837253</v>
      </c>
      <c r="E27" s="572">
        <f>1/(1+$C$14)^E26</f>
        <v>0.65633412202971475</v>
      </c>
      <c r="F27" s="572">
        <f>1/(1+$C$14)^F26</f>
        <v>0.57038309364791107</v>
      </c>
      <c r="G27" s="572">
        <f>1/(1+$C$14)^G26</f>
        <v>0.49568788609261488</v>
      </c>
    </row>
    <row r="28" spans="1:7" x14ac:dyDescent="0.35">
      <c r="A28" t="s">
        <v>5343</v>
      </c>
      <c r="C28" s="572">
        <f>C25*C27</f>
        <v>-3085393367.2963028</v>
      </c>
      <c r="D28" s="572">
        <f>D25*D27</f>
        <v>-5956757421.6515713</v>
      </c>
      <c r="E28" s="572">
        <f>E25*E27</f>
        <v>-13251387799.279428</v>
      </c>
      <c r="F28" s="572">
        <f>F25*F27</f>
        <v>-13878778643.797241</v>
      </c>
      <c r="G28" s="572">
        <f>G25*G27</f>
        <v>-10042738770.641346</v>
      </c>
    </row>
    <row r="29" spans="1:7" x14ac:dyDescent="0.35">
      <c r="C29" s="572"/>
      <c r="D29" s="572"/>
      <c r="E29" s="572"/>
      <c r="F29" s="572"/>
      <c r="G29" s="572"/>
    </row>
    <row r="30" spans="1:7" x14ac:dyDescent="0.35">
      <c r="A30" s="188" t="s">
        <v>5344</v>
      </c>
      <c r="C30" s="589">
        <f>SUM(C28:G28)</f>
        <v>-46215056002.665894</v>
      </c>
      <c r="D30" s="572"/>
      <c r="E30" s="572"/>
      <c r="F30" s="572"/>
      <c r="G30" s="572"/>
    </row>
    <row r="32" spans="1:7" x14ac:dyDescent="0.35">
      <c r="A32" s="349" t="s">
        <v>5345</v>
      </c>
    </row>
    <row r="33" spans="1:4" x14ac:dyDescent="0.35">
      <c r="A33" s="385" t="s">
        <v>5346</v>
      </c>
      <c r="C33" s="585">
        <v>10</v>
      </c>
      <c r="D33" s="570" t="s">
        <v>5347</v>
      </c>
    </row>
    <row r="34" spans="1:4" x14ac:dyDescent="0.35">
      <c r="A34" t="s">
        <v>5348</v>
      </c>
      <c r="C34" s="572">
        <f>'P&amp;L'!G15</f>
        <v>18975745057.365532</v>
      </c>
    </row>
    <row r="35" spans="1:4" x14ac:dyDescent="0.35">
      <c r="A35" t="s">
        <v>5349</v>
      </c>
      <c r="C35" s="572">
        <f>C33*C34</f>
        <v>189757450573.65533</v>
      </c>
    </row>
    <row r="36" spans="1:4" x14ac:dyDescent="0.35">
      <c r="A36" t="s">
        <v>5350</v>
      </c>
      <c r="C36" s="572">
        <f>C35*G27</f>
        <v>94060469545.179062</v>
      </c>
    </row>
    <row r="37" spans="1:4" x14ac:dyDescent="0.35">
      <c r="A37" s="385" t="s">
        <v>5351</v>
      </c>
      <c r="C37" s="580">
        <v>0.03</v>
      </c>
    </row>
    <row r="38" spans="1:4" x14ac:dyDescent="0.35">
      <c r="A38" t="s">
        <v>5352</v>
      </c>
      <c r="C38" s="572">
        <f>G25*(1+C37)/(C14-C37)</f>
        <v>-172905894110.17154</v>
      </c>
    </row>
    <row r="39" spans="1:4" x14ac:dyDescent="0.35">
      <c r="A39" t="s">
        <v>5353</v>
      </c>
      <c r="C39" s="572">
        <f>C38*G27</f>
        <v>-85707357144.424438</v>
      </c>
    </row>
    <row r="40" spans="1:4" ht="101.5" x14ac:dyDescent="0.35">
      <c r="A40" s="346" t="s">
        <v>5288</v>
      </c>
      <c r="C40" s="594" t="s">
        <v>5354</v>
      </c>
    </row>
    <row r="42" spans="1:4" x14ac:dyDescent="0.35">
      <c r="A42" s="349" t="s">
        <v>5355</v>
      </c>
    </row>
    <row r="43" spans="1:4" x14ac:dyDescent="0.35">
      <c r="A43" t="s">
        <v>5356</v>
      </c>
      <c r="C43" s="572">
        <f>C30</f>
        <v>-46215056002.665894</v>
      </c>
    </row>
    <row r="44" spans="1:4" x14ac:dyDescent="0.35">
      <c r="A44" t="s">
        <v>5357</v>
      </c>
      <c r="C44" s="572">
        <f>C36</f>
        <v>94060469545.179062</v>
      </c>
    </row>
    <row r="45" spans="1:4" x14ac:dyDescent="0.35">
      <c r="A45" s="188" t="s">
        <v>5358</v>
      </c>
      <c r="C45" s="578">
        <f>C43+C44</f>
        <v>47845413542.513168</v>
      </c>
    </row>
    <row r="46" spans="1:4" x14ac:dyDescent="0.35">
      <c r="A46" t="s">
        <v>5359</v>
      </c>
      <c r="C46" s="572">
        <f>-('Balance Sheet'!G18+'Balance Sheet'!G19-'Balance Sheet'!G6)</f>
        <v>-9390189039.188961</v>
      </c>
    </row>
    <row r="47" spans="1:4" x14ac:dyDescent="0.35">
      <c r="A47" s="188" t="s">
        <v>5360</v>
      </c>
      <c r="C47" s="578">
        <f>C45+C46</f>
        <v>38455224503.324203</v>
      </c>
    </row>
    <row r="49" spans="1:5" x14ac:dyDescent="0.35">
      <c r="A49" s="349" t="s">
        <v>5361</v>
      </c>
    </row>
    <row r="50" spans="1:5" x14ac:dyDescent="0.35">
      <c r="C50" s="568" t="s">
        <v>5362</v>
      </c>
      <c r="D50" s="568" t="s">
        <v>1366</v>
      </c>
      <c r="E50" s="568" t="s">
        <v>5363</v>
      </c>
    </row>
    <row r="51" spans="1:5" x14ac:dyDescent="0.35">
      <c r="A51" s="385" t="s">
        <v>5364</v>
      </c>
      <c r="C51" s="585">
        <v>6</v>
      </c>
      <c r="D51" s="193">
        <f>C33</f>
        <v>10</v>
      </c>
      <c r="E51" s="585">
        <v>14</v>
      </c>
    </row>
    <row r="52" spans="1:5" x14ac:dyDescent="0.35">
      <c r="A52" t="s">
        <v>5357</v>
      </c>
      <c r="C52" s="572">
        <f>C51*$C$34*$G$27</f>
        <v>56436281727.107437</v>
      </c>
      <c r="D52" s="572">
        <f>D51*$C$34*$G$27</f>
        <v>94060469545.179062</v>
      </c>
      <c r="E52" s="572">
        <f>E51*$C$34*$G$27</f>
        <v>131684657363.25067</v>
      </c>
    </row>
    <row r="53" spans="1:5" x14ac:dyDescent="0.35">
      <c r="A53" t="s">
        <v>5365</v>
      </c>
      <c r="C53" s="572">
        <f>$C$30+C52</f>
        <v>10221225724.441544</v>
      </c>
      <c r="D53" s="572">
        <f>$C$30+D52</f>
        <v>47845413542.513168</v>
      </c>
      <c r="E53" s="572">
        <f>$C$30+E52</f>
        <v>85469601360.584778</v>
      </c>
    </row>
    <row r="54" spans="1:5" x14ac:dyDescent="0.35">
      <c r="A54" t="s">
        <v>5366</v>
      </c>
      <c r="C54" s="572">
        <f>$C$46</f>
        <v>-9390189039.188961</v>
      </c>
      <c r="D54" s="572">
        <f>$C$46</f>
        <v>-9390189039.188961</v>
      </c>
      <c r="E54" s="572">
        <f>$C$46</f>
        <v>-9390189039.188961</v>
      </c>
    </row>
    <row r="55" spans="1:5" x14ac:dyDescent="0.35">
      <c r="A55" s="188" t="s">
        <v>5367</v>
      </c>
      <c r="C55" s="577">
        <f>C53+C54</f>
        <v>831036685.25258255</v>
      </c>
      <c r="D55" s="577">
        <f>D53+D54</f>
        <v>38455224503.324203</v>
      </c>
      <c r="E55" s="577">
        <f>E53+E54</f>
        <v>76079412321.395813</v>
      </c>
    </row>
    <row r="57" spans="1:5" x14ac:dyDescent="0.35">
      <c r="A57" s="349" t="s">
        <v>5368</v>
      </c>
    </row>
    <row r="58" spans="1:5" x14ac:dyDescent="0.35">
      <c r="A58" t="s">
        <v>5369</v>
      </c>
      <c r="C58" s="572">
        <f>Funding_Plan!H13</f>
        <v>11000000000</v>
      </c>
    </row>
    <row r="59" spans="1:5" x14ac:dyDescent="0.35">
      <c r="A59" t="s">
        <v>5313</v>
      </c>
      <c r="C59" s="191">
        <f>Funding_Plan!C35</f>
        <v>8.3969465648854963E-2</v>
      </c>
    </row>
    <row r="60" spans="1:5" x14ac:dyDescent="0.35">
      <c r="A60" t="s">
        <v>5370</v>
      </c>
      <c r="C60" s="572">
        <f>MAX(0,D55)*C59</f>
        <v>3229064652.9508872</v>
      </c>
    </row>
    <row r="61" spans="1:5" x14ac:dyDescent="0.35">
      <c r="A61" t="s">
        <v>5371</v>
      </c>
      <c r="C61" s="586">
        <f>C60/C58</f>
        <v>0.29355133208644429</v>
      </c>
    </row>
    <row r="62" spans="1:5" x14ac:dyDescent="0.35">
      <c r="A62" s="385" t="s">
        <v>5372</v>
      </c>
      <c r="C62" s="569">
        <v>4</v>
      </c>
    </row>
    <row r="63" spans="1:5" x14ac:dyDescent="0.35">
      <c r="A63" t="s">
        <v>5373</v>
      </c>
      <c r="C63" s="191">
        <f>IF(C61&gt;0,C61^(1/C62)-1,-1)</f>
        <v>-0.26392678600031061</v>
      </c>
    </row>
    <row r="64" spans="1:5" ht="261" x14ac:dyDescent="0.35">
      <c r="A64" s="346" t="s">
        <v>5374</v>
      </c>
      <c r="C64" s="594" t="s">
        <v>5375</v>
      </c>
    </row>
    <row r="66" spans="1:9" x14ac:dyDescent="0.35">
      <c r="A66" s="349" t="s">
        <v>5376</v>
      </c>
    </row>
    <row r="67" spans="1:9" x14ac:dyDescent="0.35">
      <c r="B67" s="568" t="s">
        <v>5377</v>
      </c>
      <c r="C67" s="587">
        <v>6</v>
      </c>
      <c r="D67" s="587">
        <v>8</v>
      </c>
      <c r="E67" s="587">
        <v>10</v>
      </c>
      <c r="F67" s="587">
        <v>12</v>
      </c>
      <c r="G67" s="587">
        <v>14</v>
      </c>
    </row>
    <row r="68" spans="1:9" x14ac:dyDescent="0.35">
      <c r="B68" s="588">
        <v>0.11</v>
      </c>
      <c r="C68" s="590">
        <f>NPV($B68,$C$25:$G$25)+C$67*$C$34/(1+$B68)^5+$C$46</f>
        <v>5762222110.9297218</v>
      </c>
      <c r="D68" s="572">
        <f>NPV($B68,$C$25:$G$25)+D$67*$C$34/(1+$B68)^5+$C$46</f>
        <v>28284584321.318127</v>
      </c>
      <c r="E68" s="572">
        <f>NPV($B68,$C$25:$G$25)+E$67*$C$34/(1+$B68)^5+$C$46</f>
        <v>50806946531.706558</v>
      </c>
      <c r="F68" s="572">
        <f>NPV($B68,$C$25:$G$25)+F$67*$C$34/(1+$B68)^5+$C$46</f>
        <v>73329308742.09494</v>
      </c>
      <c r="G68" s="572">
        <f>NPV($B68,$C$25:$G$25)+G$67*$C$34/(1+$B68)^5+$C$46</f>
        <v>95851670952.483337</v>
      </c>
    </row>
    <row r="69" spans="1:9" x14ac:dyDescent="0.35">
      <c r="B69" s="588">
        <v>0.13</v>
      </c>
      <c r="C69" s="572">
        <f>NPV($B69,$C$25:$G$25)+C$67*$C$34/(1+$B69)^5+$C$46</f>
        <v>3174064395.3326912</v>
      </c>
      <c r="D69" s="591">
        <f>NPV($B69,$C$25:$G$25)+D$67*$C$34/(1+$B69)^5+$C$46</f>
        <v>23772612741.087833</v>
      </c>
      <c r="E69" s="591">
        <f>NPV($B69,$C$25:$G$25)+E$67*$C$34/(1+$B69)^5+$C$46</f>
        <v>44371161086.842972</v>
      </c>
      <c r="F69" s="591">
        <f>NPV($B69,$C$25:$G$25)+F$67*$C$34/(1+$B69)^5+$C$46</f>
        <v>64969709432.598099</v>
      </c>
      <c r="G69" s="591">
        <f>NPV($B69,$C$25:$G$25)+G$67*$C$34/(1+$B69)^5+$C$46</f>
        <v>85568257778.353226</v>
      </c>
      <c r="H69" s="587"/>
      <c r="I69" s="587"/>
    </row>
    <row r="70" spans="1:9" x14ac:dyDescent="0.35">
      <c r="B70" s="588">
        <f>C14</f>
        <v>0.15069000000000002</v>
      </c>
      <c r="C70" s="572">
        <f>NPV($B70,$C$25:$G$25)+C$67*$C$34/(1+$B70)^5+$C$46</f>
        <v>831036685.25259018</v>
      </c>
      <c r="D70" s="592">
        <f>NPV($B70,$C$25:$G$25)+D$67*$C$34/(1+$B70)^5+$C$46</f>
        <v>19643130594.288403</v>
      </c>
      <c r="E70" s="593">
        <f>NPV($B70,$C$25:$G$25)+E$67*$C$34/(1+$B70)^5+$C$46</f>
        <v>38455224503.324219</v>
      </c>
      <c r="F70" s="572">
        <f>NPV($B70,$C$25:$G$25)+F$67*$C$34/(1+$B70)^5+$C$46</f>
        <v>57267318412.360031</v>
      </c>
      <c r="G70" s="572">
        <f>NPV($B70,$C$25:$G$25)+G$67*$C$34/(1+$B70)^5+$C$46</f>
        <v>76079412321.395813</v>
      </c>
    </row>
    <row r="71" spans="1:9" x14ac:dyDescent="0.35">
      <c r="B71" s="588">
        <v>0.17</v>
      </c>
      <c r="C71" s="572">
        <f>NPV($B71,$C$25:$G$25)+C$67*$C$34/(1+$B71)^5+$C$46</f>
        <v>-1088048142.7346611</v>
      </c>
      <c r="D71" s="592">
        <f>NPV($B71,$C$25:$G$25)+D$67*$C$34/(1+$B71)^5+$C$46</f>
        <v>16222049746.364918</v>
      </c>
      <c r="E71" s="572">
        <f>NPV($B71,$C$25:$G$25)+E$67*$C$34/(1+$B71)^5+$C$46</f>
        <v>33532147635.464497</v>
      </c>
      <c r="F71" s="572">
        <f>NPV($B71,$C$25:$G$25)+F$67*$C$34/(1+$B71)^5+$C$46</f>
        <v>50842245524.564056</v>
      </c>
      <c r="G71" s="572">
        <f>NPV($B71,$C$25:$G$25)+G$67*$C$34/(1+$B71)^5+$C$46</f>
        <v>68152343413.663635</v>
      </c>
    </row>
    <row r="72" spans="1:9" x14ac:dyDescent="0.35">
      <c r="B72" s="588">
        <v>0.19</v>
      </c>
      <c r="C72" s="572">
        <f>NPV($B72,$C$25:$G$25)+C$67*$C$34/(1+$B72)^5+$C$46</f>
        <v>-2837619242.456562</v>
      </c>
      <c r="D72" s="592">
        <f>NPV($B72,$C$25:$G$25)+D$67*$C$34/(1+$B72)^5+$C$46</f>
        <v>13065928816.015804</v>
      </c>
      <c r="E72" s="572">
        <f>NPV($B72,$C$25:$G$25)+E$67*$C$34/(1+$B72)^5+$C$46</f>
        <v>28969476874.488171</v>
      </c>
      <c r="F72" s="572">
        <f>NPV($B72,$C$25:$G$25)+F$67*$C$34/(1+$B72)^5+$C$46</f>
        <v>44873024932.960541</v>
      </c>
      <c r="G72" s="572">
        <f>NPV($B72,$C$25:$G$25)+G$67*$C$34/(1+$B72)^5+$C$46</f>
        <v>60776572991.432892</v>
      </c>
    </row>
    <row r="73" spans="1:9" x14ac:dyDescent="0.35">
      <c r="D73" s="588"/>
    </row>
    <row r="74" spans="1:9" x14ac:dyDescent="0.35">
      <c r="D74" s="588"/>
    </row>
  </sheetData>
  <conditionalFormatting sqref="C68:G72">
    <cfRule type="colorScale" priority="1">
      <colorScale>
        <cfvo type="min"/>
        <cfvo type="num" val="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4887A-97F6-49DD-843E-7E2F31B9F18C}">
  <sheetPr>
    <tabColor rgb="FF0F5132"/>
  </sheetPr>
  <dimension ref="A1:E22"/>
  <sheetViews>
    <sheetView showGridLines="0" workbookViewId="0">
      <pane ySplit="4" topLeftCell="A5" activePane="bottomLeft" state="frozen"/>
      <selection pane="bottomLeft"/>
    </sheetView>
  </sheetViews>
  <sheetFormatPr defaultRowHeight="14.5" x14ac:dyDescent="0.35"/>
  <cols>
    <col min="1" max="1" width="5.08984375" customWidth="1"/>
    <col min="2" max="2" width="69.08984375" customWidth="1"/>
    <col min="3" max="3" width="16.36328125" customWidth="1"/>
    <col min="4" max="4" width="23.6328125" customWidth="1"/>
    <col min="5" max="5" width="21.81640625" customWidth="1"/>
  </cols>
  <sheetData>
    <row r="1" spans="1:5" ht="19.5" x14ac:dyDescent="0.45">
      <c r="A1" s="663" t="s">
        <v>5788</v>
      </c>
    </row>
    <row r="2" spans="1:5" x14ac:dyDescent="0.35">
      <c r="A2" s="664" t="s">
        <v>5789</v>
      </c>
    </row>
    <row r="4" spans="1:5" x14ac:dyDescent="0.35">
      <c r="A4" s="665" t="s">
        <v>820</v>
      </c>
      <c r="B4" s="665" t="s">
        <v>4043</v>
      </c>
      <c r="C4" s="665" t="s">
        <v>3435</v>
      </c>
      <c r="D4" s="665" t="s">
        <v>5790</v>
      </c>
      <c r="E4" s="665" t="s">
        <v>1487</v>
      </c>
    </row>
    <row r="5" spans="1:5" x14ac:dyDescent="0.35">
      <c r="A5">
        <v>1</v>
      </c>
      <c r="B5" t="s">
        <v>5791</v>
      </c>
      <c r="C5" t="s">
        <v>5792</v>
      </c>
      <c r="D5">
        <f>MAX(ABS('Balance Sheet'!C26),ABS('Balance Sheet'!D26),ABS('Balance Sheet'!E26),ABS('Balance Sheet'!F26),ABS('Balance Sheet'!G26))</f>
        <v>0</v>
      </c>
      <c r="E5" t="str">
        <f>IF(D5&lt;1000,"OK","Review Needed")</f>
        <v>OK</v>
      </c>
    </row>
    <row r="6" spans="1:5" x14ac:dyDescent="0.35">
      <c r="A6">
        <v>2</v>
      </c>
      <c r="B6" t="s">
        <v>5793</v>
      </c>
      <c r="C6" t="s">
        <v>5794</v>
      </c>
      <c r="D6">
        <f>ABS('Cash Flow'!C6-'P&amp;L'!C21)+ABS('Cash Flow'!G6-'P&amp;L'!G21)</f>
        <v>0</v>
      </c>
      <c r="E6" t="str">
        <f>IF(D6&lt;1,"OK","Review Needed")</f>
        <v>OK</v>
      </c>
    </row>
    <row r="7" spans="1:5" x14ac:dyDescent="0.35">
      <c r="A7">
        <v>3</v>
      </c>
      <c r="B7" t="s">
        <v>5795</v>
      </c>
      <c r="C7" t="s">
        <v>5794</v>
      </c>
      <c r="D7">
        <f>ABS('P&amp;L'!G6-'Revenue Model'!G50)</f>
        <v>0</v>
      </c>
      <c r="E7" t="str">
        <f>IF(D7&lt;1,"OK","Review Needed")</f>
        <v>OK</v>
      </c>
    </row>
    <row r="8" spans="1:5" x14ac:dyDescent="0.35">
      <c r="A8">
        <v>4</v>
      </c>
      <c r="B8" t="s">
        <v>5796</v>
      </c>
      <c r="C8" t="s">
        <v>5794</v>
      </c>
      <c r="D8">
        <f>ABS('Cash Flow'!C12+'Capex Schedule'!C11)+ABS('Cash Flow'!G12+'Capex Schedule'!G11)</f>
        <v>0</v>
      </c>
      <c r="E8" t="str">
        <f>IF(D8&lt;1,"OK","Review Needed")</f>
        <v>OK</v>
      </c>
    </row>
    <row r="9" spans="1:5" x14ac:dyDescent="0.35">
      <c r="A9">
        <v>5</v>
      </c>
      <c r="B9" t="s">
        <v>5797</v>
      </c>
      <c r="C9" t="s">
        <v>5794</v>
      </c>
      <c r="D9">
        <f>ABS('Balance Sheet'!G6-'Cash Flow'!G22)</f>
        <v>0</v>
      </c>
      <c r="E9" t="str">
        <f>IF(D9&lt;1,"OK","Review Needed")</f>
        <v>OK</v>
      </c>
    </row>
    <row r="10" spans="1:5" x14ac:dyDescent="0.35">
      <c r="A10">
        <v>6</v>
      </c>
      <c r="B10" t="s">
        <v>5798</v>
      </c>
      <c r="C10" t="s">
        <v>5799</v>
      </c>
      <c r="D10">
        <f>MIN('Cash Flow'!C22:G22)</f>
        <v>3249668706.1858172</v>
      </c>
      <c r="E10" t="str">
        <f>IF(D10&gt;=Funding_Plan!C12,"OK",IF(D10&gt;=0,"Review Needed","Review Needed"))</f>
        <v>OK</v>
      </c>
    </row>
    <row r="11" spans="1:5" x14ac:dyDescent="0.35">
      <c r="A11">
        <v>7</v>
      </c>
      <c r="B11" t="s">
        <v>5785</v>
      </c>
      <c r="C11" t="s">
        <v>2430</v>
      </c>
      <c r="D11">
        <f>'P&amp;L'!H17</f>
        <v>3</v>
      </c>
      <c r="E11" t="str">
        <f>IF(D11&lt;=5,"OK","Review Needed")</f>
        <v>OK</v>
      </c>
    </row>
    <row r="12" spans="1:5" x14ac:dyDescent="0.35">
      <c r="A12">
        <v>8</v>
      </c>
      <c r="B12" t="s">
        <v>5800</v>
      </c>
      <c r="C12" t="s">
        <v>5801</v>
      </c>
      <c r="D12">
        <f>'P&amp;L'!G21</f>
        <v>892142214.04609513</v>
      </c>
      <c r="E12" t="str">
        <f>IF(D12&gt;=0,"OK","Review Needed")</f>
        <v>OK</v>
      </c>
    </row>
    <row r="13" spans="1:5" x14ac:dyDescent="0.35">
      <c r="A13">
        <v>9</v>
      </c>
      <c r="B13" t="s">
        <v>5802</v>
      </c>
      <c r="C13" t="s">
        <v>5803</v>
      </c>
      <c r="D13">
        <f>MIN(Funding_Plan!C28:G28)</f>
        <v>4320104503.5556803</v>
      </c>
      <c r="E13" t="str">
        <f>IF(D13&gt;=0,"OK","Review Needed")</f>
        <v>OK</v>
      </c>
    </row>
    <row r="14" spans="1:5" x14ac:dyDescent="0.35">
      <c r="A14">
        <v>10</v>
      </c>
      <c r="B14" t="s">
        <v>5804</v>
      </c>
      <c r="C14" t="s">
        <v>5794</v>
      </c>
      <c r="D14">
        <f>ABS('P&amp;L'!G8-('P&amp;L'!G6+'P&amp;L'!G7))</f>
        <v>0</v>
      </c>
      <c r="E14" t="str">
        <f>IF(D14&lt;1,"OK","Review Needed")</f>
        <v>OK</v>
      </c>
    </row>
    <row r="15" spans="1:5" x14ac:dyDescent="0.35">
      <c r="A15">
        <v>11</v>
      </c>
      <c r="B15" t="s">
        <v>5805</v>
      </c>
      <c r="C15" t="s">
        <v>5794</v>
      </c>
      <c r="D15">
        <f>ABS('P&amp;L'!G15-('P&amp;L'!G8+'P&amp;L'!G12+'P&amp;L'!G13+'P&amp;L'!G14))</f>
        <v>0</v>
      </c>
      <c r="E15" t="str">
        <f>IF(D15&lt;1,"OK","Review Needed")</f>
        <v>OK</v>
      </c>
    </row>
    <row r="16" spans="1:5" x14ac:dyDescent="0.35">
      <c r="A16">
        <v>12</v>
      </c>
      <c r="B16" t="s">
        <v>5806</v>
      </c>
      <c r="C16" t="s">
        <v>5807</v>
      </c>
      <c r="D16" cm="1">
        <f t="array" ref="D16">SUMPRODUCT(--ISERROR('P&amp;L'!C6:G21))+SUMPRODUCT(--ISERROR('Cash Flow'!C6:G22))+SUMPRODUCT(--ISERROR('Balance Sheet'!C6:G26))</f>
        <v>0</v>
      </c>
      <c r="E16" t="str">
        <f>IF(D16=0,"OK","Review Needed")</f>
        <v>OK</v>
      </c>
    </row>
    <row r="18" spans="1:3" x14ac:dyDescent="0.35">
      <c r="A18" s="666" t="s">
        <v>4013</v>
      </c>
      <c r="B18" s="667"/>
    </row>
    <row r="19" spans="1:3" x14ac:dyDescent="0.35">
      <c r="B19" s="188" t="s">
        <v>5808</v>
      </c>
      <c r="C19" s="564">
        <f>COUNTIF(E5:E16,"OK")</f>
        <v>12</v>
      </c>
    </row>
    <row r="20" spans="1:3" x14ac:dyDescent="0.35">
      <c r="B20" s="188" t="s">
        <v>5809</v>
      </c>
      <c r="C20" s="668">
        <f>COUNTIF(E5:E16,"Review Needed")</f>
        <v>0</v>
      </c>
    </row>
    <row r="22" spans="1:3" x14ac:dyDescent="0.35">
      <c r="B22" s="346" t="s">
        <v>5810</v>
      </c>
      <c r="C22" s="346" t="s">
        <v>5811</v>
      </c>
    </row>
  </sheetData>
  <conditionalFormatting sqref="E5:E16">
    <cfRule type="cellIs" dxfId="1" priority="1" operator="equal">
      <formula>"OK"</formula>
    </cfRule>
  </conditionalFormatting>
  <conditionalFormatting sqref="E5:E16">
    <cfRule type="cellIs" dxfId="0" priority="2" operator="equal">
      <formula>"Review Needed"</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5D50A-BF1F-42D6-9508-E37A6FA2C2BB}">
  <sheetPr>
    <tabColor rgb="FF1B5E20"/>
  </sheetPr>
  <dimension ref="A1:G50"/>
  <sheetViews>
    <sheetView topLeftCell="A29" workbookViewId="0">
      <pane xSplit="2" topLeftCell="C1" activePane="topRight" state="frozen"/>
      <selection pane="topRight"/>
    </sheetView>
  </sheetViews>
  <sheetFormatPr defaultRowHeight="14.5" x14ac:dyDescent="0.35"/>
  <cols>
    <col min="1" max="1" width="38.1796875" customWidth="1"/>
    <col min="2" max="2" width="27.26953125" customWidth="1"/>
    <col min="3" max="7" width="16.7265625" customWidth="1"/>
  </cols>
  <sheetData>
    <row r="1" spans="1:7" ht="19" x14ac:dyDescent="0.4">
      <c r="A1" s="567" t="s">
        <v>5378</v>
      </c>
    </row>
    <row r="2" spans="1:7" x14ac:dyDescent="0.35">
      <c r="A2" s="356" t="s">
        <v>5379</v>
      </c>
    </row>
    <row r="4" spans="1:7" x14ac:dyDescent="0.35">
      <c r="A4" s="351" t="s">
        <v>5380</v>
      </c>
      <c r="B4" s="568" t="s">
        <v>1374</v>
      </c>
      <c r="C4" s="568" t="s">
        <v>1366</v>
      </c>
      <c r="D4" s="568" t="s">
        <v>1375</v>
      </c>
    </row>
    <row r="5" spans="1:7" x14ac:dyDescent="0.35">
      <c r="A5" t="s">
        <v>5381</v>
      </c>
      <c r="B5" s="581">
        <v>0.75</v>
      </c>
      <c r="C5" s="581">
        <v>1</v>
      </c>
      <c r="D5" s="581">
        <v>1.25</v>
      </c>
    </row>
    <row r="6" spans="1:7" x14ac:dyDescent="0.35">
      <c r="A6" t="s">
        <v>5382</v>
      </c>
      <c r="B6" s="580">
        <v>-0.05</v>
      </c>
      <c r="C6" s="580">
        <v>0</v>
      </c>
      <c r="D6" s="580">
        <v>0.05</v>
      </c>
    </row>
    <row r="7" spans="1:7" x14ac:dyDescent="0.35">
      <c r="A7" t="s">
        <v>5383</v>
      </c>
      <c r="B7" s="581">
        <v>1</v>
      </c>
      <c r="C7" s="581">
        <v>1</v>
      </c>
      <c r="D7" s="581">
        <v>1.05</v>
      </c>
    </row>
    <row r="8" spans="1:7" x14ac:dyDescent="0.35">
      <c r="A8" t="s">
        <v>5384</v>
      </c>
      <c r="B8" s="581">
        <v>0.85</v>
      </c>
      <c r="C8" s="581">
        <v>1</v>
      </c>
      <c r="D8" s="581">
        <v>1.1499999999999999</v>
      </c>
    </row>
    <row r="11" spans="1:7" x14ac:dyDescent="0.35">
      <c r="A11" s="595" t="s">
        <v>5385</v>
      </c>
      <c r="B11" s="596" t="s">
        <v>5386</v>
      </c>
      <c r="C11" s="568" t="s">
        <v>12</v>
      </c>
      <c r="D11" s="568" t="s">
        <v>13</v>
      </c>
      <c r="E11" s="568" t="s">
        <v>14</v>
      </c>
      <c r="F11" s="568" t="s">
        <v>15</v>
      </c>
      <c r="G11" s="568" t="s">
        <v>16</v>
      </c>
    </row>
    <row r="12" spans="1:7" x14ac:dyDescent="0.35">
      <c r="B12" t="s">
        <v>1794</v>
      </c>
      <c r="C12" s="572">
        <f>'P&amp;L'!C6*$B$5</f>
        <v>338792340</v>
      </c>
      <c r="D12" s="572">
        <f>'P&amp;L'!D6*$B$5</f>
        <v>2235132960</v>
      </c>
      <c r="E12" s="572">
        <f>'P&amp;L'!E6*$B$5</f>
        <v>10586417831.624996</v>
      </c>
      <c r="F12" s="572">
        <f>'P&amp;L'!F6*$B$5</f>
        <v>26094104004.554993</v>
      </c>
      <c r="G12" s="572">
        <f>'P&amp;L'!G6*$B$5</f>
        <v>47960668012.482178</v>
      </c>
    </row>
    <row r="13" spans="1:7" x14ac:dyDescent="0.35">
      <c r="B13" t="s">
        <v>5387</v>
      </c>
      <c r="C13" s="191">
        <f>'P&amp;L'!C9+$B$6</f>
        <v>-0.4413236896088028</v>
      </c>
      <c r="D13" s="191">
        <f>'P&amp;L'!D9+$B$6</f>
        <v>4.0192210310387971E-2</v>
      </c>
      <c r="E13" s="191">
        <f>'P&amp;L'!E9+$B$6</f>
        <v>0.29317010471489402</v>
      </c>
      <c r="F13" s="191">
        <f>'P&amp;L'!F9+$B$6</f>
        <v>0.36988858596288754</v>
      </c>
      <c r="G13" s="191">
        <f>'P&amp;L'!G9+$B$6</f>
        <v>0.40263916946528355</v>
      </c>
    </row>
    <row r="14" spans="1:7" x14ac:dyDescent="0.35">
      <c r="B14" t="s">
        <v>19</v>
      </c>
      <c r="C14" s="572">
        <f>C12*C13-('P&amp;L'!C8-'P&amp;L'!C15)*$B$7</f>
        <v>-646412517.5</v>
      </c>
      <c r="D14" s="572">
        <f>D12*D13-('P&amp;L'!D8-'P&amp;L'!D15)*$B$7</f>
        <v>-848503684.38080001</v>
      </c>
      <c r="E14" s="572">
        <f>E12*E13-('P&amp;L'!E8-'P&amp;L'!E15)*$B$7</f>
        <v>-726262442.75329304</v>
      </c>
      <c r="F14" s="572">
        <f>F12*F13-('P&amp;L'!F8-'P&amp;L'!F15)*$B$7</f>
        <v>2481599373.1483822</v>
      </c>
      <c r="G14" s="572">
        <f>G12*G13-('P&amp;L'!G8-'P&amp;L'!G15)*$B$7</f>
        <v>9341419344.6847191</v>
      </c>
    </row>
    <row r="15" spans="1:7" x14ac:dyDescent="0.35">
      <c r="B15" t="s">
        <v>2756</v>
      </c>
      <c r="C15" s="572">
        <f>'Capex Schedule'!C11*$B$8</f>
        <v>2277911171.9776716</v>
      </c>
      <c r="D15" s="572">
        <f>'Capex Schedule'!D11*$B$8</f>
        <v>5490045521.4110069</v>
      </c>
      <c r="E15" s="572">
        <f>'Capex Schedule'!E11*$B$8</f>
        <v>16305022778.272057</v>
      </c>
      <c r="F15" s="572">
        <f>'Capex Schedule'!F11*$B$8</f>
        <v>24239673521.501797</v>
      </c>
      <c r="G15" s="572">
        <f>'Capex Schedule'!G11*$B$8</f>
        <v>29315359817.531376</v>
      </c>
    </row>
    <row r="16" spans="1:7" x14ac:dyDescent="0.35">
      <c r="B16" t="s">
        <v>2922</v>
      </c>
      <c r="C16" s="572">
        <f>'P&amp;L'!C17*$B$8</f>
        <v>-462597250.18173915</v>
      </c>
      <c r="D16" s="572">
        <f>'P&amp;L'!D17*$B$8</f>
        <v>-1511514181.8147416</v>
      </c>
      <c r="E16" s="572">
        <f>'P&amp;L'!E17*$B$8</f>
        <v>-4440863313.3162909</v>
      </c>
      <c r="F16" s="572">
        <f>'P&amp;L'!F17*$B$8</f>
        <v>-8674296873.0978451</v>
      </c>
      <c r="G16" s="572">
        <f>'P&amp;L'!G17*$B$8</f>
        <v>-13882177039.864317</v>
      </c>
    </row>
    <row r="17" spans="1:7" x14ac:dyDescent="0.35">
      <c r="B17" t="s">
        <v>5388</v>
      </c>
      <c r="C17" s="572">
        <f>C14+C16+'P&amp;L'!C19+IF((C14+C16+'P&amp;L'!C19)&gt;0,-(C14+C16+'P&amp;L'!C19)*TaxRate,0)</f>
        <v>-1109009767.6817391</v>
      </c>
      <c r="D17" s="572">
        <f>D14+D16+'P&amp;L'!D19+IF((D14+D16+'P&amp;L'!D19)&gt;0,-(D14+D16+'P&amp;L'!D19)*TaxRate,0)</f>
        <v>-2360017866.1955414</v>
      </c>
      <c r="E17" s="572">
        <f>E14+E16+'P&amp;L'!E19+IF((E14+E16+'P&amp;L'!E19)&gt;0,-(E14+E16+'P&amp;L'!E19)*TaxRate,0)</f>
        <v>-5367125756.0695839</v>
      </c>
      <c r="F17" s="572">
        <f>F14+F16+'P&amp;L'!F19+IF((F14+F16+'P&amp;L'!F19)&gt;0,-(F14+F16+'P&amp;L'!F19)*TaxRate,0)</f>
        <v>-6892697499.9494629</v>
      </c>
      <c r="G17" s="572">
        <f>G14+G16+'P&amp;L'!G19+IF((G14+G16+'P&amp;L'!G19)&gt;0,-(G14+G16+'P&amp;L'!G19)*TaxRate,0)</f>
        <v>-6040757695.1795979</v>
      </c>
    </row>
    <row r="18" spans="1:7" x14ac:dyDescent="0.35">
      <c r="B18" t="s">
        <v>5340</v>
      </c>
      <c r="C18" s="572">
        <f>(C14+C16)+IF((C14+C16)&gt;0,-(C14+C16)*TaxRate,0)-C16-C15+'Cash Flow'!C8*$B$5</f>
        <v>-3071901495.0050688</v>
      </c>
      <c r="D18" s="572">
        <f>(D14+D16)+IF((D14+D16)&gt;0,-(D14+D16)*TaxRate,0)-D16-D15+'Cash Flow'!D8*$B$5</f>
        <v>-6907679936.1274233</v>
      </c>
      <c r="E18" s="572">
        <f>(E14+E16)+IF((E14+E16)&gt;0,-(E14+E16)*TaxRate,0)-E16-E15+'Cash Flow'!E8*$B$5</f>
        <v>-18547531925.400478</v>
      </c>
      <c r="F18" s="572">
        <f>(F14+F16)+IF((F14+F16)&gt;0,-(F14+F16)*TaxRate,0)-F16-F15+'Cash Flow'!F8*$B$5</f>
        <v>-24198295071.206165</v>
      </c>
      <c r="G18" s="572">
        <f>(G14+G16)+IF((G14+G16)&gt;0,-(G14+G16)*TaxRate,0)-G16-G15+'Cash Flow'!G8*$B$5</f>
        <v>-23098187548.974636</v>
      </c>
    </row>
    <row r="19" spans="1:7" x14ac:dyDescent="0.35">
      <c r="B19" t="s">
        <v>5389</v>
      </c>
      <c r="C19" s="572">
        <f>(C17-C16+'Cash Flow'!C8*$B$5)-C15+(Funding_Plan!C20+Funding_Plan!C21)</f>
        <v>3928098504.9949312</v>
      </c>
      <c r="D19" s="572">
        <f>C19+(D17-D16+'Cash Flow'!D8*$B$5)-D15+(Funding_Plan!D20+Funding_Plan!D21)</f>
        <v>6520418568.8675079</v>
      </c>
      <c r="E19" s="572">
        <f>D19+(E17-E16+'Cash Flow'!E8*$B$5)-E15+(Funding_Plan!E20+Funding_Plan!E21)</f>
        <v>12772886643.46703</v>
      </c>
      <c r="F19" s="572">
        <f>E19+(F17-F16+'Cash Flow'!F8*$B$5)-F15+(Funding_Plan!F20+Funding_Plan!F21)</f>
        <v>25874591572.260864</v>
      </c>
      <c r="G19" s="572">
        <f>F19+(G17-G16+'Cash Flow'!G8*$B$5)-G15+(Funding_Plan!G20+Funding_Plan!G21)</f>
        <v>21776404023.286228</v>
      </c>
    </row>
    <row r="20" spans="1:7" x14ac:dyDescent="0.35">
      <c r="A20" s="346" t="s">
        <v>5612</v>
      </c>
      <c r="C20" s="572">
        <f>NPV(Valuation!$C$14,C18:G18)</f>
        <v>-45311721403.506828</v>
      </c>
    </row>
    <row r="21" spans="1:7" x14ac:dyDescent="0.35">
      <c r="A21" s="346" t="s">
        <v>5613</v>
      </c>
      <c r="C21" s="572">
        <f>MIN(C19:G19)</f>
        <v>3928098504.9949312</v>
      </c>
    </row>
    <row r="22" spans="1:7" x14ac:dyDescent="0.35">
      <c r="A22" s="346" t="s">
        <v>5614</v>
      </c>
      <c r="C22" s="36" cm="1">
        <f t="array" ref="C22">IFERROR(MATCH(1,INDEX((C14:G14&gt;0)*1,0),0),"Not in 5yr")</f>
        <v>4</v>
      </c>
    </row>
    <row r="25" spans="1:7" x14ac:dyDescent="0.35">
      <c r="A25" s="597" t="s">
        <v>5390</v>
      </c>
      <c r="B25" s="596" t="s">
        <v>5386</v>
      </c>
      <c r="C25" s="568" t="s">
        <v>12</v>
      </c>
      <c r="D25" s="568" t="s">
        <v>13</v>
      </c>
      <c r="E25" s="568" t="s">
        <v>14</v>
      </c>
      <c r="F25" s="568" t="s">
        <v>15</v>
      </c>
      <c r="G25" s="568" t="s">
        <v>16</v>
      </c>
    </row>
    <row r="26" spans="1:7" x14ac:dyDescent="0.35">
      <c r="B26" t="s">
        <v>1794</v>
      </c>
      <c r="C26" s="572">
        <f>'P&amp;L'!C6*$C$5</f>
        <v>451723120</v>
      </c>
      <c r="D26" s="572">
        <f>'P&amp;L'!D6*$C$5</f>
        <v>2980177280</v>
      </c>
      <c r="E26" s="572">
        <f>'P&amp;L'!E6*$C$5</f>
        <v>14115223775.499996</v>
      </c>
      <c r="F26" s="572">
        <f>'P&amp;L'!F6*$C$5</f>
        <v>34792138672.73999</v>
      </c>
      <c r="G26" s="572">
        <f>'P&amp;L'!G6*$C$5</f>
        <v>63947557349.976234</v>
      </c>
    </row>
    <row r="27" spans="1:7" x14ac:dyDescent="0.35">
      <c r="B27" t="s">
        <v>5387</v>
      </c>
      <c r="C27" s="191">
        <f>'P&amp;L'!C9+$C$6</f>
        <v>-0.39132368960880282</v>
      </c>
      <c r="D27" s="191">
        <f>'P&amp;L'!D9+$C$6</f>
        <v>9.0192210310387974E-2</v>
      </c>
      <c r="E27" s="191">
        <f>'P&amp;L'!E9+$C$6</f>
        <v>0.34317010471489401</v>
      </c>
      <c r="F27" s="191">
        <f>'P&amp;L'!F9+$C$6</f>
        <v>0.41988858596288753</v>
      </c>
      <c r="G27" s="191">
        <f>'P&amp;L'!G9+$C$6</f>
        <v>0.45263916946528354</v>
      </c>
    </row>
    <row r="28" spans="1:7" x14ac:dyDescent="0.35">
      <c r="B28" t="s">
        <v>19</v>
      </c>
      <c r="C28" s="572">
        <f>C26*C27-('P&amp;L'!C8-'P&amp;L'!C15)*$C$7</f>
        <v>-673665390</v>
      </c>
      <c r="D28" s="572">
        <f>D26*D27-('P&amp;L'!D8-'P&amp;L'!D15)*$C$7</f>
        <v>-669549842.38080001</v>
      </c>
      <c r="E28" s="572">
        <f>E26*E27-('P&amp;L'!E8-'P&amp;L'!E15)*$C$7</f>
        <v>1014039154.106081</v>
      </c>
      <c r="F28" s="572">
        <f>F26*F27-('P&amp;L'!F8-'P&amp;L'!F15)*$C$7</f>
        <v>7438510050.8565044</v>
      </c>
      <c r="G28" s="572">
        <f>G26*G27-('P&amp;L'!G8-'P&amp;L'!G15)*$C$7</f>
        <v>18975745057.365532</v>
      </c>
    </row>
    <row r="29" spans="1:7" x14ac:dyDescent="0.35">
      <c r="B29" t="s">
        <v>2756</v>
      </c>
      <c r="C29" s="572">
        <f>'Capex Schedule'!C11*$C$8</f>
        <v>2679895496.4443197</v>
      </c>
      <c r="D29" s="572">
        <f>'Capex Schedule'!D11*$C$8</f>
        <v>6458877084.012949</v>
      </c>
      <c r="E29" s="572">
        <f>'Capex Schedule'!E11*$C$8</f>
        <v>19182379739.143597</v>
      </c>
      <c r="F29" s="572">
        <f>'Capex Schedule'!F11*$C$8</f>
        <v>28517262966.472702</v>
      </c>
      <c r="G29" s="572">
        <f>'Capex Schedule'!G11*$C$8</f>
        <v>34488658608.860443</v>
      </c>
    </row>
    <row r="30" spans="1:7" x14ac:dyDescent="0.35">
      <c r="B30" t="s">
        <v>2922</v>
      </c>
      <c r="C30" s="572">
        <f>'P&amp;L'!C17*$C$8</f>
        <v>-544232059.03734016</v>
      </c>
      <c r="D30" s="572">
        <f>'P&amp;L'!D17*$C$8</f>
        <v>-1778251978.6055784</v>
      </c>
      <c r="E30" s="572">
        <f>'P&amp;L'!E17*$C$8</f>
        <v>-5224545074.4897537</v>
      </c>
      <c r="F30" s="572">
        <f>'P&amp;L'!F17*$C$8</f>
        <v>-10205055144.820993</v>
      </c>
      <c r="G30" s="572">
        <f>'P&amp;L'!G17*$C$8</f>
        <v>-16331972988.075666</v>
      </c>
    </row>
    <row r="31" spans="1:7" x14ac:dyDescent="0.35">
      <c r="B31" t="s">
        <v>5388</v>
      </c>
      <c r="C31" s="572">
        <f>C28+C30+'P&amp;L'!C19+IF((C28+C30+'P&amp;L'!C19)&gt;0,-(C28+C30+'P&amp;L'!C19)*TaxRate,0)</f>
        <v>-1217897449.0373402</v>
      </c>
      <c r="D31" s="572">
        <f>D28+D30+'P&amp;L'!D19+IF((D28+D30+'P&amp;L'!D19)&gt;0,-(D28+D30+'P&amp;L'!D19)*TaxRate,0)</f>
        <v>-2447801820.9863787</v>
      </c>
      <c r="E31" s="572">
        <f>E28+E30+'P&amp;L'!E19+IF((E28+E30+'P&amp;L'!E19)&gt;0,-(E28+E30+'P&amp;L'!E19)*TaxRate,0)</f>
        <v>-4410505920.3836727</v>
      </c>
      <c r="F31" s="572">
        <f>F28+F30+'P&amp;L'!F19+IF((F28+F30+'P&amp;L'!F19)&gt;0,-(F28+F30+'P&amp;L'!F19)*TaxRate,0)</f>
        <v>-3466545093.964489</v>
      </c>
      <c r="G31" s="572">
        <f>G28+G30+'P&amp;L'!G19+IF((G28+G30+'P&amp;L'!G19)&gt;0,-(G28+G30+'P&amp;L'!G19)*TaxRate,0)</f>
        <v>892142214.04609513</v>
      </c>
    </row>
    <row r="32" spans="1:7" x14ac:dyDescent="0.35">
      <c r="B32" t="s">
        <v>5340</v>
      </c>
      <c r="C32" s="572">
        <f>(C28+C30)+IF((C28+C30)&gt;0,-(C28+C30)*TaxRate,0)-C30-C29+'Cash Flow'!C8*$C$5</f>
        <v>-3550331293.8141828</v>
      </c>
      <c r="D32" s="572">
        <f>(D28+D30)+IF((D28+D30)&gt;0,-(D28+D30)*TaxRate,0)-D30-D29+'Cash Flow'!D8*$C$5</f>
        <v>-7887267900.174571</v>
      </c>
      <c r="E32" s="572">
        <f>(E28+E30)+IF((E28+E30)&gt;0,-(E28+E30)*TaxRate,0)-E30-E29+'Cash Flow'!E8*$C$5</f>
        <v>-20190002857.537685</v>
      </c>
      <c r="F32" s="572">
        <f>(F28+F30)+IF((F28+F30)&gt;0,-(F28+F30)*TaxRate,0)-F30-F29+'Cash Flow'!F8*$C$5</f>
        <v>-24332380812.753197</v>
      </c>
      <c r="G32" s="572">
        <f>(G28+G30)+IF((G28+G30)&gt;0,-(G28+G30)*TaxRate,0)-G30-G29+'Cash Flow'!G8*$C$5</f>
        <v>-20260206174.909325</v>
      </c>
    </row>
    <row r="33" spans="1:7" x14ac:dyDescent="0.35">
      <c r="B33" t="s">
        <v>5389</v>
      </c>
      <c r="C33" s="572">
        <f>(C31-C30+'Cash Flow'!C8*$C$5)-C29+(Funding_Plan!C20+Funding_Plan!C21)</f>
        <v>3449668706.1858172</v>
      </c>
      <c r="D33" s="572">
        <f>C33+(D31-D30+'Cash Flow'!D8*$C$5)-D29+(Funding_Plan!D20+Funding_Plan!D21)</f>
        <v>5062400806.0112457</v>
      </c>
      <c r="E33" s="572">
        <f>D33+(E31-E30+'Cash Flow'!E8*$C$5)-E29+(Funding_Plan!E20+Funding_Plan!E21)</f>
        <v>9672397948.4735603</v>
      </c>
      <c r="F33" s="572">
        <f>E33+(F31-F30+'Cash Flow'!F8*$C$5)-F29+(Funding_Plan!F20+Funding_Plan!F21)</f>
        <v>22640017135.720364</v>
      </c>
      <c r="G33" s="572">
        <f>F33+(G31-G30+'Cash Flow'!G8*$C$5)-G29+(Funding_Plan!G20+Funding_Plan!G21)</f>
        <v>21709810960.811043</v>
      </c>
    </row>
    <row r="34" spans="1:7" x14ac:dyDescent="0.35">
      <c r="A34" s="346" t="s">
        <v>5612</v>
      </c>
      <c r="C34" s="572">
        <f>NPV(Valuation!$C$14,C32:G32)</f>
        <v>-46215056002.665886</v>
      </c>
    </row>
    <row r="35" spans="1:7" x14ac:dyDescent="0.35">
      <c r="A35" s="346" t="s">
        <v>5613</v>
      </c>
      <c r="C35" s="572">
        <f>MIN(C33:G33)</f>
        <v>3449668706.1858172</v>
      </c>
    </row>
    <row r="36" spans="1:7" x14ac:dyDescent="0.35">
      <c r="A36" s="346" t="s">
        <v>5614</v>
      </c>
      <c r="C36" s="36" cm="1">
        <f t="array" ref="C36">IFERROR(MATCH(1,INDEX((C28:G28&gt;0)*1,0),0),"Not in 5yr")</f>
        <v>3</v>
      </c>
    </row>
    <row r="39" spans="1:7" x14ac:dyDescent="0.35">
      <c r="A39" s="598" t="s">
        <v>5391</v>
      </c>
      <c r="B39" s="596" t="s">
        <v>5386</v>
      </c>
      <c r="C39" s="568" t="s">
        <v>12</v>
      </c>
      <c r="D39" s="568" t="s">
        <v>13</v>
      </c>
      <c r="E39" s="568" t="s">
        <v>14</v>
      </c>
      <c r="F39" s="568" t="s">
        <v>15</v>
      </c>
      <c r="G39" s="568" t="s">
        <v>16</v>
      </c>
    </row>
    <row r="40" spans="1:7" x14ac:dyDescent="0.35">
      <c r="B40" t="s">
        <v>1794</v>
      </c>
      <c r="C40" s="572">
        <f>'P&amp;L'!C6*$D$5</f>
        <v>564653900</v>
      </c>
      <c r="D40" s="572">
        <f>'P&amp;L'!D6*$D$5</f>
        <v>3725221600</v>
      </c>
      <c r="E40" s="572">
        <f>'P&amp;L'!E6*$D$5</f>
        <v>17644029719.374996</v>
      </c>
      <c r="F40" s="572">
        <f>'P&amp;L'!F6*$D$5</f>
        <v>43490173340.924988</v>
      </c>
      <c r="G40" s="572">
        <f>'P&amp;L'!G6*$D$5</f>
        <v>79934446687.470291</v>
      </c>
    </row>
    <row r="41" spans="1:7" x14ac:dyDescent="0.35">
      <c r="B41" t="s">
        <v>5387</v>
      </c>
      <c r="C41" s="191">
        <f>'P&amp;L'!C9+$D$6</f>
        <v>-0.34132368960880283</v>
      </c>
      <c r="D41" s="191">
        <f>'P&amp;L'!D9+$D$6</f>
        <v>0.14019221031038798</v>
      </c>
      <c r="E41" s="191">
        <f>'P&amp;L'!E9+$D$6</f>
        <v>0.393170104714894</v>
      </c>
      <c r="F41" s="191">
        <f>'P&amp;L'!F9+$D$6</f>
        <v>0.46988858596288752</v>
      </c>
      <c r="G41" s="191">
        <f>'P&amp;L'!G9+$D$6</f>
        <v>0.50263916946528353</v>
      </c>
    </row>
    <row r="42" spans="1:7" x14ac:dyDescent="0.35">
      <c r="B42" t="s">
        <v>19</v>
      </c>
      <c r="C42" s="572">
        <f>C40*C41-('P&amp;L'!C8-'P&amp;L'!C15)*$D$7</f>
        <v>-714469956.10000002</v>
      </c>
      <c r="D42" s="572">
        <f>D40*D41-('P&amp;L'!D8-'P&amp;L'!D15)*$D$7</f>
        <v>-463008499.29984009</v>
      </c>
      <c r="E42" s="572">
        <f>E40*E41-('P&amp;L'!E8-'P&amp;L'!E15)*$D$7</f>
        <v>2915727162.002634</v>
      </c>
      <c r="F42" s="572">
        <f>F40*F41-('P&amp;L'!F8-'P&amp;L'!F15)*$D$7</f>
        <v>12906708602.429874</v>
      </c>
      <c r="G42" s="572">
        <f>G40*G41-('P&amp;L'!G8-'P&amp;L'!G15)*$D$7</f>
        <v>29710288494.252686</v>
      </c>
    </row>
    <row r="43" spans="1:7" x14ac:dyDescent="0.35">
      <c r="B43" t="s">
        <v>2756</v>
      </c>
      <c r="C43" s="572">
        <f>'Capex Schedule'!C11*$D$8</f>
        <v>3081879820.9109674</v>
      </c>
      <c r="D43" s="572">
        <f>'Capex Schedule'!D11*$D$8</f>
        <v>7427708646.6148911</v>
      </c>
      <c r="E43" s="572">
        <f>'Capex Schedule'!E11*$D$8</f>
        <v>22059736700.015133</v>
      </c>
      <c r="F43" s="572">
        <f>'Capex Schedule'!F11*$D$8</f>
        <v>32794852411.443604</v>
      </c>
      <c r="G43" s="572">
        <f>'Capex Schedule'!G11*$D$8</f>
        <v>39661957400.189507</v>
      </c>
    </row>
    <row r="44" spans="1:7" x14ac:dyDescent="0.35">
      <c r="B44" t="s">
        <v>2922</v>
      </c>
      <c r="C44" s="572">
        <f>'P&amp;L'!C17*$D$8</f>
        <v>-625866867.89294112</v>
      </c>
      <c r="D44" s="572">
        <f>'P&amp;L'!D17*$D$8</f>
        <v>-2044989775.396415</v>
      </c>
      <c r="E44" s="572">
        <f>'P&amp;L'!E17*$D$8</f>
        <v>-6008226835.6632166</v>
      </c>
      <c r="F44" s="572">
        <f>'P&amp;L'!F17*$D$8</f>
        <v>-11735813416.544142</v>
      </c>
      <c r="G44" s="572">
        <f>'P&amp;L'!G17*$D$8</f>
        <v>-18781768936.287014</v>
      </c>
    </row>
    <row r="45" spans="1:7" x14ac:dyDescent="0.35">
      <c r="B45" t="s">
        <v>5388</v>
      </c>
      <c r="C45" s="572">
        <f>C42+C44+'P&amp;L'!C19+IF((C42+C44+'P&amp;L'!C19)&gt;0,-(C42+C44+'P&amp;L'!C19)*TaxRate,0)</f>
        <v>-1340336823.9929411</v>
      </c>
      <c r="D45" s="572">
        <f>D42+D44+'P&amp;L'!D19+IF((D42+D44+'P&amp;L'!D19)&gt;0,-(D42+D44+'P&amp;L'!D19)*TaxRate,0)</f>
        <v>-2507998274.6962552</v>
      </c>
      <c r="E45" s="572">
        <f>E42+E44+'P&amp;L'!E19+IF((E42+E44+'P&amp;L'!E19)&gt;0,-(E42+E44+'P&amp;L'!E19)*TaxRate,0)</f>
        <v>-3292499673.6605825</v>
      </c>
      <c r="F45" s="572">
        <f>F42+F44+'P&amp;L'!F19+IF((F42+F44+'P&amp;L'!F19)&gt;0,-(F42+F44+'P&amp;L'!F19)*TaxRate,0)</f>
        <v>367298244.99087149</v>
      </c>
      <c r="G45" s="572">
        <f>G42+G44+'P&amp;L'!G19+IF((G42+G44+'P&amp;L'!G19)&gt;0,-(G42+G44+'P&amp;L'!G19)*TaxRate,0)</f>
        <v>7354245255.2132235</v>
      </c>
    </row>
    <row r="46" spans="1:7" x14ac:dyDescent="0.35">
      <c r="B46" t="s">
        <v>5340</v>
      </c>
      <c r="C46" s="572">
        <f>(C42+C44)+IF((C42+C44)&gt;0,-(C42+C44)*TaxRate,0)-C44-C43+'Cash Flow'!C8*$D$5</f>
        <v>-4042312786.2232962</v>
      </c>
      <c r="D46" s="572">
        <f>(D42+D44)+IF((D42+D44)&gt;0,-(D42+D44)*TaxRate,0)-D44-D43+'Cash Flow'!D8*$D$5</f>
        <v>-8839268363.1407585</v>
      </c>
      <c r="E46" s="572">
        <f>(E42+E44)+IF((E42+E44)&gt;0,-(E42+E44)*TaxRate,0)-E44-E43+'Cash Flow'!E8*$D$5</f>
        <v>-21671087378.637711</v>
      </c>
      <c r="F46" s="572">
        <f>(F42+F44)+IF((F42+F44)&gt;0,-(F42+F44)*TaxRate,0)-F44-F43+'Cash Flow'!F8*$D$5</f>
        <v>-24212775621.329842</v>
      </c>
      <c r="G46" s="572">
        <f>(G42+G44)+IF((G42+G44)&gt;0,-(G42+G44)*TaxRate,0)-G44-G43+'Cash Flow'!G8*$D$5</f>
        <v>-17563021668.902573</v>
      </c>
    </row>
    <row r="47" spans="1:7" x14ac:dyDescent="0.35">
      <c r="B47" t="s">
        <v>5389</v>
      </c>
      <c r="C47" s="572">
        <f>(C45-C44+'Cash Flow'!C8*$D$5)-C43+(Funding_Plan!C20+Funding_Plan!C21)</f>
        <v>2957687213.7767038</v>
      </c>
      <c r="D47" s="572">
        <f>C47+(D45-D44+'Cash Flow'!D8*$D$5)-D43+(Funding_Plan!D20+Funding_Plan!D21)</f>
        <v>3618418850.6359453</v>
      </c>
      <c r="E47" s="572">
        <f>D47+(E45-E44+'Cash Flow'!E8*$D$5)-E43+(Funding_Plan!E20+Funding_Plan!E21)</f>
        <v>6747331471.9982338</v>
      </c>
      <c r="F47" s="572">
        <f>E47+(F45-F44+'Cash Flow'!F8*$D$5)-F43+(Funding_Plan!F20+Funding_Plan!F21)</f>
        <v>19988555850.668396</v>
      </c>
      <c r="G47" s="572">
        <f>F47+(G45-G44+'Cash Flow'!G8*$D$5)-G43+(Funding_Plan!G20+Funding_Plan!G21)</f>
        <v>21755534181.765823</v>
      </c>
    </row>
    <row r="48" spans="1:7" x14ac:dyDescent="0.35">
      <c r="A48" s="346" t="s">
        <v>5612</v>
      </c>
      <c r="C48" s="572">
        <f>NPV(Valuation!$C$14,C46:G46)</f>
        <v>-46928499386.717125</v>
      </c>
    </row>
    <row r="49" spans="1:3" x14ac:dyDescent="0.35">
      <c r="A49" s="346" t="s">
        <v>5613</v>
      </c>
      <c r="C49" s="572">
        <f>MIN(C47:G47)</f>
        <v>2957687213.7767038</v>
      </c>
    </row>
    <row r="50" spans="1:3" x14ac:dyDescent="0.35">
      <c r="A50" s="346" t="s">
        <v>5614</v>
      </c>
      <c r="C50" s="36" cm="1">
        <f t="array" ref="C50">IFERROR(MATCH(1,INDEX((C42:G42&gt;0)*1,0),0),"Not in 5yr")</f>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F5740-B531-44DA-8BE7-90EB088E0E20}">
  <sheetPr>
    <tabColor rgb="FF1B5E20"/>
  </sheetPr>
  <dimension ref="A1:H88"/>
  <sheetViews>
    <sheetView workbookViewId="0">
      <selection activeCell="H30" sqref="H30"/>
    </sheetView>
  </sheetViews>
  <sheetFormatPr defaultRowHeight="14.5" x14ac:dyDescent="0.35"/>
  <cols>
    <col min="1" max="1" width="54.54296875" customWidth="1"/>
    <col min="2" max="2" width="15.08984375" bestFit="1" customWidth="1"/>
    <col min="3" max="8" width="16.7265625" customWidth="1"/>
  </cols>
  <sheetData>
    <row r="1" spans="1:5" ht="19" x14ac:dyDescent="0.4">
      <c r="A1" s="567" t="s">
        <v>5392</v>
      </c>
    </row>
    <row r="2" spans="1:5" x14ac:dyDescent="0.35">
      <c r="A2" s="356" t="s">
        <v>5393</v>
      </c>
    </row>
    <row r="4" spans="1:5" x14ac:dyDescent="0.35">
      <c r="A4" s="606" t="s">
        <v>5394</v>
      </c>
    </row>
    <row r="5" spans="1:5" x14ac:dyDescent="0.35">
      <c r="C5" s="568" t="str">
        <f>'Swap Hub Econ'!C5</f>
        <v>Conservative</v>
      </c>
      <c r="D5" s="568" t="str">
        <f>'Swap Hub Econ'!D5</f>
        <v>Base</v>
      </c>
      <c r="E5" s="568" t="str">
        <f>'Swap Hub Econ'!E5</f>
        <v>Aggressive</v>
      </c>
    </row>
    <row r="6" spans="1:5" x14ac:dyDescent="0.35">
      <c r="A6" t="s">
        <v>5395</v>
      </c>
      <c r="C6" s="380">
        <f>'Swap Hub Econ'!C6</f>
        <v>900000000</v>
      </c>
      <c r="D6" s="380">
        <f>'Swap Hub Econ'!D6</f>
        <v>800000000</v>
      </c>
      <c r="E6" s="380">
        <f>'Swap Hub Econ'!E6</f>
        <v>700000000</v>
      </c>
    </row>
    <row r="7" spans="1:5" x14ac:dyDescent="0.35">
      <c r="A7" t="s">
        <v>2757</v>
      </c>
      <c r="C7">
        <f>'Swap Hub Econ'!C7</f>
        <v>30</v>
      </c>
      <c r="D7">
        <f>'Swap Hub Econ'!D7</f>
        <v>50</v>
      </c>
      <c r="E7">
        <f>'Swap Hub Econ'!E7</f>
        <v>70</v>
      </c>
    </row>
    <row r="8" spans="1:5" x14ac:dyDescent="0.35">
      <c r="A8" t="s">
        <v>5396</v>
      </c>
      <c r="C8" s="191">
        <f>'Swap Hub Econ'!C8</f>
        <v>0.4</v>
      </c>
      <c r="D8" s="191">
        <f>'Swap Hub Econ'!D8</f>
        <v>0.6</v>
      </c>
      <c r="E8" s="191">
        <f>'Swap Hub Econ'!E8</f>
        <v>0.8</v>
      </c>
    </row>
    <row r="9" spans="1:5" x14ac:dyDescent="0.35">
      <c r="A9" t="s">
        <v>5397</v>
      </c>
      <c r="C9" s="380">
        <f>'Swap Hub Econ'!C9</f>
        <v>450000</v>
      </c>
      <c r="D9" s="380">
        <f>'Swap Hub Econ'!D9</f>
        <v>500000</v>
      </c>
      <c r="E9" s="380">
        <f>'Swap Hub Econ'!E9</f>
        <v>550000</v>
      </c>
    </row>
    <row r="10" spans="1:5" x14ac:dyDescent="0.35">
      <c r="A10" t="s">
        <v>5398</v>
      </c>
      <c r="C10" s="380">
        <f>'Swap Hub Econ'!C10</f>
        <v>5400000</v>
      </c>
      <c r="D10" s="380">
        <f>'Swap Hub Econ'!D10</f>
        <v>15000000</v>
      </c>
      <c r="E10" s="380">
        <f>'Swap Hub Econ'!E10</f>
        <v>30800000</v>
      </c>
    </row>
    <row r="11" spans="1:5" x14ac:dyDescent="0.35">
      <c r="A11" t="s">
        <v>5399</v>
      </c>
      <c r="C11" s="380">
        <f>'Swap Hub Econ'!C15</f>
        <v>19000000</v>
      </c>
      <c r="D11" s="380">
        <f>'Swap Hub Econ'!D15</f>
        <v>22800000</v>
      </c>
      <c r="E11" s="380">
        <f>'Swap Hub Econ'!E15</f>
        <v>27200000</v>
      </c>
    </row>
    <row r="12" spans="1:5" x14ac:dyDescent="0.35">
      <c r="A12" t="s">
        <v>5400</v>
      </c>
      <c r="C12" s="380">
        <f>'Swap Hub Econ'!C16</f>
        <v>-13600000</v>
      </c>
      <c r="D12" s="380">
        <f>'Swap Hub Econ'!D16</f>
        <v>-7800000</v>
      </c>
      <c r="E12" s="380">
        <f>'Swap Hub Econ'!E16</f>
        <v>3600000</v>
      </c>
    </row>
    <row r="13" spans="1:5" x14ac:dyDescent="0.35">
      <c r="A13" t="s">
        <v>5401</v>
      </c>
      <c r="C13" s="599">
        <f>'Swap Hub Econ'!C17</f>
        <v>-163200000</v>
      </c>
      <c r="D13" s="599">
        <f>'Swap Hub Econ'!D17</f>
        <v>-93600000</v>
      </c>
      <c r="E13" s="599">
        <f>'Swap Hub Econ'!E17</f>
        <v>43200000</v>
      </c>
    </row>
    <row r="14" spans="1:5" x14ac:dyDescent="0.35">
      <c r="A14" t="s">
        <v>5402</v>
      </c>
      <c r="C14" s="191">
        <f>'Swap Hub Econ'!C18</f>
        <v>-2.5185185185185186</v>
      </c>
      <c r="D14" s="191">
        <f>'Swap Hub Econ'!D18</f>
        <v>-0.52</v>
      </c>
      <c r="E14" s="191">
        <f>'Swap Hub Econ'!E18</f>
        <v>0.11688311688311688</v>
      </c>
    </row>
    <row r="15" spans="1:5" x14ac:dyDescent="0.35">
      <c r="A15" t="s">
        <v>2775</v>
      </c>
      <c r="C15" s="36">
        <f>'Swap Hub Econ'!C19</f>
        <v>-66.17647058823529</v>
      </c>
      <c r="D15" s="36">
        <f>'Swap Hub Econ'!D19</f>
        <v>-102.56410256410257</v>
      </c>
      <c r="E15" s="36">
        <f>'Swap Hub Econ'!E19</f>
        <v>194.44444444444446</v>
      </c>
    </row>
    <row r="16" spans="1:5" x14ac:dyDescent="0.35">
      <c r="A16" t="s">
        <v>5403</v>
      </c>
      <c r="C16" s="191">
        <f>'Swap Hub Econ'!C21</f>
        <v>1.4074074074074074</v>
      </c>
      <c r="D16" s="191">
        <f>'Swap Hub Econ'!D21</f>
        <v>0.91200000000000003</v>
      </c>
      <c r="E16" s="191">
        <f>'Swap Hub Econ'!E21</f>
        <v>0.70649350649350651</v>
      </c>
    </row>
    <row r="17" spans="1:8" x14ac:dyDescent="0.35">
      <c r="A17" t="s">
        <v>5404</v>
      </c>
      <c r="C17" s="188" t="str">
        <f>IF(C13&gt;0,"Positive ","NEGATIVE ")</f>
        <v xml:space="preserve">NEGATIVE </v>
      </c>
      <c r="D17" s="188" t="str">
        <f>IF(D13&gt;0,"Positive ","NEGATIVE ")</f>
        <v xml:space="preserve">NEGATIVE </v>
      </c>
      <c r="E17" s="188" t="str">
        <f>IF(E13&gt;0,"Positive ","NEGATIVE ")</f>
        <v xml:space="preserve">Positive </v>
      </c>
    </row>
    <row r="19" spans="1:8" x14ac:dyDescent="0.35">
      <c r="A19" s="602" t="s">
        <v>5405</v>
      </c>
    </row>
    <row r="20" spans="1:8" x14ac:dyDescent="0.35">
      <c r="A20" t="s">
        <v>5406</v>
      </c>
      <c r="C20" s="380">
        <f>'Swap Hub Econ'!C32</f>
        <v>760000</v>
      </c>
    </row>
    <row r="21" spans="1:8" x14ac:dyDescent="0.35">
      <c r="A21" t="s">
        <v>5407</v>
      </c>
      <c r="C21" s="380">
        <f>'Swap Hub Econ'!D9</f>
        <v>500000</v>
      </c>
    </row>
    <row r="22" spans="1:8" x14ac:dyDescent="0.35">
      <c r="A22" t="s">
        <v>5408</v>
      </c>
      <c r="C22" s="603">
        <f>'Swap Hub Econ'!C33</f>
        <v>0.52</v>
      </c>
    </row>
    <row r="23" spans="1:8" x14ac:dyDescent="0.35">
      <c r="A23" t="s">
        <v>5409</v>
      </c>
      <c r="C23" s="603">
        <f>'Swap Hub Econ'!C35</f>
        <v>0.91200000000000003</v>
      </c>
    </row>
    <row r="25" spans="1:8" x14ac:dyDescent="0.35">
      <c r="A25" s="354" t="s">
        <v>5410</v>
      </c>
    </row>
    <row r="26" spans="1:8" ht="58" customHeight="1" x14ac:dyDescent="0.35">
      <c r="A26" s="557" t="s">
        <v>5411</v>
      </c>
    </row>
    <row r="28" spans="1:8" x14ac:dyDescent="0.35">
      <c r="A28" s="349" t="s">
        <v>5412</v>
      </c>
    </row>
    <row r="29" spans="1:8" x14ac:dyDescent="0.35">
      <c r="B29" s="346" t="s">
        <v>5615</v>
      </c>
      <c r="C29" s="604">
        <v>0.4</v>
      </c>
      <c r="D29" s="604">
        <v>0.5</v>
      </c>
      <c r="E29" s="604">
        <v>0.6</v>
      </c>
      <c r="F29" s="604">
        <v>0.7</v>
      </c>
      <c r="G29" s="604">
        <v>0.8</v>
      </c>
      <c r="H29" s="605">
        <v>0.91200000000000003</v>
      </c>
    </row>
    <row r="30" spans="1:8" x14ac:dyDescent="0.35">
      <c r="B30" t="s">
        <v>2768</v>
      </c>
      <c r="C30" s="380">
        <f>($D$7*C29*$D$9-'Swap Hub Econ'!$D$15)*12</f>
        <v>-153600000</v>
      </c>
      <c r="D30" s="380">
        <f>($D$7*D29*$D$9-'Swap Hub Econ'!$D$15)*12</f>
        <v>-123600000</v>
      </c>
      <c r="E30" s="380">
        <f>($D$7*E29*$D$9-'Swap Hub Econ'!$D$15)*12</f>
        <v>-93600000</v>
      </c>
      <c r="F30" s="380">
        <f>($D$7*F29*$D$9-'Swap Hub Econ'!$D$15)*12</f>
        <v>-63600000</v>
      </c>
      <c r="G30" s="380">
        <f>($D$7*G29*$D$9-'Swap Hub Econ'!$D$15)*12</f>
        <v>-33600000</v>
      </c>
      <c r="H30" s="380">
        <f>($D$7*H29*$D$9-'Swap Hub Econ'!$D$15)*12</f>
        <v>0</v>
      </c>
    </row>
    <row r="32" spans="1:8" ht="29" x14ac:dyDescent="0.35">
      <c r="A32" s="623" t="s">
        <v>5554</v>
      </c>
    </row>
    <row r="33" spans="1:4" ht="43.5" x14ac:dyDescent="0.35">
      <c r="A33" s="624" t="s">
        <v>5555</v>
      </c>
    </row>
    <row r="34" spans="1:4" x14ac:dyDescent="0.35">
      <c r="A34" s="625" t="s">
        <v>5556</v>
      </c>
      <c r="C34" s="600">
        <v>625000</v>
      </c>
      <c r="D34" s="570" t="s">
        <v>5557</v>
      </c>
    </row>
    <row r="35" spans="1:4" x14ac:dyDescent="0.35">
      <c r="A35" s="625" t="s">
        <v>5558</v>
      </c>
      <c r="C35" s="619">
        <v>0.8</v>
      </c>
      <c r="D35" s="570" t="s">
        <v>5559</v>
      </c>
    </row>
    <row r="36" spans="1:4" x14ac:dyDescent="0.35">
      <c r="A36" s="625" t="s">
        <v>5560</v>
      </c>
      <c r="C36" s="601">
        <v>55</v>
      </c>
      <c r="D36" s="570" t="s">
        <v>5561</v>
      </c>
    </row>
    <row r="37" spans="1:4" x14ac:dyDescent="0.35">
      <c r="A37" s="625" t="s">
        <v>5562</v>
      </c>
      <c r="C37" s="619">
        <v>0.2</v>
      </c>
      <c r="D37" s="570" t="s">
        <v>5563</v>
      </c>
    </row>
    <row r="38" spans="1:4" x14ac:dyDescent="0.35">
      <c r="A38" s="558"/>
    </row>
    <row r="39" spans="1:4" x14ac:dyDescent="0.35">
      <c r="A39" s="625" t="s">
        <v>5564</v>
      </c>
      <c r="C39" s="620">
        <f>'Swap Hub Econ'!D17</f>
        <v>-93600000</v>
      </c>
    </row>
    <row r="40" spans="1:4" x14ac:dyDescent="0.35">
      <c r="A40" s="625" t="s">
        <v>5565</v>
      </c>
      <c r="C40" s="380">
        <f>C36*C35*C34*12</f>
        <v>330000000</v>
      </c>
    </row>
    <row r="41" spans="1:4" x14ac:dyDescent="0.35">
      <c r="A41" s="625" t="s">
        <v>5604</v>
      </c>
      <c r="C41" s="380">
        <f>C71</f>
        <v>259737600</v>
      </c>
    </row>
    <row r="42" spans="1:4" x14ac:dyDescent="0.35">
      <c r="A42" s="625" t="s">
        <v>5566</v>
      </c>
      <c r="C42" s="380">
        <f>C40*0.025</f>
        <v>8250000</v>
      </c>
    </row>
    <row r="43" spans="1:4" x14ac:dyDescent="0.35">
      <c r="A43" s="626" t="s">
        <v>5567</v>
      </c>
      <c r="C43" s="634">
        <f>C40-C41-C42</f>
        <v>62012400</v>
      </c>
    </row>
    <row r="44" spans="1:4" x14ac:dyDescent="0.35">
      <c r="A44" s="625" t="s">
        <v>5568</v>
      </c>
      <c r="C44" s="380">
        <f>C43-C39</f>
        <v>155612400</v>
      </c>
    </row>
    <row r="45" spans="1:4" x14ac:dyDescent="0.35">
      <c r="A45" s="626" t="s">
        <v>5259</v>
      </c>
      <c r="C45" s="635" t="str">
        <f>IF(C43&gt;0,"Hub EBITDA-positive under blend - rollout unlock met","Still negative - push levers further")</f>
        <v>Hub EBITDA-positive under blend - rollout unlock met</v>
      </c>
    </row>
    <row r="46" spans="1:4" ht="174" x14ac:dyDescent="0.35">
      <c r="A46" s="627" t="s">
        <v>5569</v>
      </c>
      <c r="B46" s="621" t="s">
        <v>5570</v>
      </c>
    </row>
    <row r="47" spans="1:4" x14ac:dyDescent="0.35">
      <c r="A47" s="558"/>
    </row>
    <row r="48" spans="1:4" x14ac:dyDescent="0.35">
      <c r="A48" s="628" t="s">
        <v>5571</v>
      </c>
    </row>
    <row r="49" spans="1:3" x14ac:dyDescent="0.35">
      <c r="A49" s="558" t="s">
        <v>5572</v>
      </c>
      <c r="C49" s="620">
        <f>50*0.6*760000*12-'Swap Hub Econ'!D15*12-(50*0.6*760000*12)*0.025</f>
        <v>-6840000</v>
      </c>
    </row>
    <row r="50" spans="1:3" x14ac:dyDescent="0.35">
      <c r="A50" s="558" t="s">
        <v>5573</v>
      </c>
      <c r="C50" s="620">
        <f>50*0.91*500000*12-'Swap Hub Econ'!D15*12-(50*0.91*500000*12)*0.025</f>
        <v>-7425000</v>
      </c>
    </row>
    <row r="51" spans="1:3" x14ac:dyDescent="0.35">
      <c r="A51" s="558" t="s">
        <v>5574</v>
      </c>
      <c r="C51" s="620">
        <f>50*0.6*500000*12-'Swap Hub Econ'!D15*12*0.8-(50*0.6*500000*12)*0.025</f>
        <v>-43380000</v>
      </c>
    </row>
    <row r="52" spans="1:3" ht="29" x14ac:dyDescent="0.35">
      <c r="A52" s="629" t="s">
        <v>5616</v>
      </c>
    </row>
    <row r="53" spans="1:3" x14ac:dyDescent="0.35">
      <c r="A53" s="558"/>
    </row>
    <row r="54" spans="1:3" x14ac:dyDescent="0.35">
      <c r="A54" s="630" t="s">
        <v>5575</v>
      </c>
    </row>
    <row r="55" spans="1:3" ht="29" x14ac:dyDescent="0.35">
      <c r="A55" s="631" t="s">
        <v>5576</v>
      </c>
    </row>
    <row r="56" spans="1:3" x14ac:dyDescent="0.35">
      <c r="A56" s="558" t="s">
        <v>5577</v>
      </c>
      <c r="C56" s="636" t="str">
        <f>IF('Swap Hub Econ'!D17&gt;0,"UNLOCK — base hub already positive",IF(C43&gt;0,"CONDITIONAL — unlock only after pilot proves blended levers","FROZEN — base hub negative"))</f>
        <v>CONDITIONAL — unlock only after pilot proves blended levers</v>
      </c>
    </row>
    <row r="57" spans="1:3" x14ac:dyDescent="0.35">
      <c r="A57" s="558"/>
    </row>
    <row r="58" spans="1:3" ht="29" x14ac:dyDescent="0.35">
      <c r="A58" s="632" t="s">
        <v>5578</v>
      </c>
      <c r="B58" s="556" t="s">
        <v>3022</v>
      </c>
      <c r="C58" s="622" t="s">
        <v>5579</v>
      </c>
    </row>
    <row r="59" spans="1:3" ht="43.5" x14ac:dyDescent="0.35">
      <c r="A59" s="558" t="s">
        <v>5580</v>
      </c>
      <c r="B59" t="s">
        <v>5254</v>
      </c>
      <c r="C59" s="344" t="s">
        <v>5581</v>
      </c>
    </row>
    <row r="60" spans="1:3" ht="43.5" x14ac:dyDescent="0.35">
      <c r="A60" s="558" t="s">
        <v>5617</v>
      </c>
      <c r="B60" t="s">
        <v>5253</v>
      </c>
      <c r="C60" s="344" t="s">
        <v>5582</v>
      </c>
    </row>
    <row r="61" spans="1:3" ht="43.5" x14ac:dyDescent="0.35">
      <c r="A61" s="558" t="s">
        <v>5583</v>
      </c>
      <c r="B61" t="s">
        <v>5584</v>
      </c>
      <c r="C61" s="344" t="s">
        <v>5585</v>
      </c>
    </row>
    <row r="62" spans="1:3" ht="72.5" x14ac:dyDescent="0.35">
      <c r="A62" s="558" t="s">
        <v>5586</v>
      </c>
      <c r="B62" t="s">
        <v>4041</v>
      </c>
      <c r="C62" s="344" t="s">
        <v>5587</v>
      </c>
    </row>
    <row r="63" spans="1:3" ht="29" x14ac:dyDescent="0.35">
      <c r="A63" s="558" t="s">
        <v>5618</v>
      </c>
      <c r="B63" t="s">
        <v>5588</v>
      </c>
      <c r="C63" s="344" t="s">
        <v>5589</v>
      </c>
    </row>
    <row r="65" spans="1:3" ht="29" x14ac:dyDescent="0.35">
      <c r="A65" s="623" t="s">
        <v>5600</v>
      </c>
      <c r="B65" s="561"/>
      <c r="C65" s="561"/>
    </row>
    <row r="66" spans="1:3" x14ac:dyDescent="0.35">
      <c r="A66" s="558" t="s">
        <v>5596</v>
      </c>
      <c r="B66" s="561"/>
      <c r="C66" s="618">
        <f>'Swap Hub Econ'!D15*12</f>
        <v>273600000</v>
      </c>
    </row>
    <row r="67" spans="1:3" x14ac:dyDescent="0.35">
      <c r="A67" s="625" t="s">
        <v>5601</v>
      </c>
      <c r="B67" s="561"/>
      <c r="C67" s="639">
        <v>0.6</v>
      </c>
    </row>
    <row r="68" spans="1:3" x14ac:dyDescent="0.35">
      <c r="A68" s="561" t="s">
        <v>5597</v>
      </c>
      <c r="B68" s="561"/>
      <c r="C68" s="618">
        <f>C66*C67</f>
        <v>164160000</v>
      </c>
    </row>
    <row r="69" spans="1:3" x14ac:dyDescent="0.35">
      <c r="A69" s="561" t="s">
        <v>5598</v>
      </c>
      <c r="B69" s="561"/>
      <c r="C69" s="618">
        <f>C66*(1-C67)</f>
        <v>109440000</v>
      </c>
    </row>
    <row r="70" spans="1:3" x14ac:dyDescent="0.35">
      <c r="A70" s="561" t="s">
        <v>5599</v>
      </c>
      <c r="B70" s="561"/>
      <c r="C70" s="640">
        <f>(C36*C35)/('Swap Hub Econ'!D7*'Swap Hub Econ'!D8)</f>
        <v>1.4666666666666666</v>
      </c>
    </row>
    <row r="71" spans="1:3" x14ac:dyDescent="0.35">
      <c r="A71" s="562" t="s">
        <v>5602</v>
      </c>
      <c r="B71" s="561"/>
      <c r="C71" s="641">
        <f>C68*(1-C37)+C69*C70*(1-C37)</f>
        <v>259737600</v>
      </c>
    </row>
    <row r="72" spans="1:3" ht="145" x14ac:dyDescent="0.35">
      <c r="A72" s="642" t="s">
        <v>5288</v>
      </c>
      <c r="B72" s="629" t="s">
        <v>5603</v>
      </c>
      <c r="C72" s="561"/>
    </row>
    <row r="74" spans="1:3" x14ac:dyDescent="0.35">
      <c r="A74" s="616" t="s">
        <v>5671</v>
      </c>
    </row>
    <row r="75" spans="1:3" x14ac:dyDescent="0.35">
      <c r="A75" s="356" t="s">
        <v>5672</v>
      </c>
    </row>
    <row r="76" spans="1:3" x14ac:dyDescent="0.35">
      <c r="A76" s="385" t="s">
        <v>5673</v>
      </c>
      <c r="C76" s="600">
        <v>700000</v>
      </c>
    </row>
    <row r="77" spans="1:3" x14ac:dyDescent="0.35">
      <c r="A77" s="385" t="s">
        <v>5674</v>
      </c>
      <c r="C77" s="619">
        <v>0.85</v>
      </c>
    </row>
    <row r="78" spans="1:3" x14ac:dyDescent="0.35">
      <c r="A78" s="385" t="s">
        <v>5675</v>
      </c>
      <c r="C78" s="601">
        <v>65</v>
      </c>
    </row>
    <row r="79" spans="1:3" x14ac:dyDescent="0.35">
      <c r="A79" s="385" t="s">
        <v>5676</v>
      </c>
      <c r="C79" s="619">
        <v>0.2</v>
      </c>
    </row>
    <row r="80" spans="1:3" x14ac:dyDescent="0.35">
      <c r="A80" s="385" t="s">
        <v>5677</v>
      </c>
      <c r="C80" s="380">
        <f>C78*C77*C76*12</f>
        <v>464100000</v>
      </c>
    </row>
    <row r="81" spans="1:3" x14ac:dyDescent="0.35">
      <c r="A81" s="385" t="s">
        <v>5678</v>
      </c>
      <c r="C81" s="380">
        <f>C68*(1-C79)+C69*((C78*C77)/('Swap Hub Econ'!D7*'Swap Hub Econ'!D8))*(1-C79)</f>
        <v>292569600</v>
      </c>
    </row>
    <row r="82" spans="1:3" x14ac:dyDescent="0.35">
      <c r="A82" s="385" t="s">
        <v>5679</v>
      </c>
      <c r="C82" s="380">
        <f>C80*0.025</f>
        <v>11602500</v>
      </c>
    </row>
    <row r="83" spans="1:3" x14ac:dyDescent="0.35">
      <c r="A83" s="385" t="s">
        <v>5680</v>
      </c>
      <c r="C83" s="380">
        <f>C80-C81-C82</f>
        <v>159927900</v>
      </c>
    </row>
    <row r="84" spans="1:3" x14ac:dyDescent="0.35">
      <c r="A84" s="385" t="s">
        <v>5681</v>
      </c>
      <c r="C84" s="600">
        <v>120000000</v>
      </c>
    </row>
    <row r="85" spans="1:3" x14ac:dyDescent="0.35">
      <c r="A85" s="385" t="s">
        <v>5682</v>
      </c>
      <c r="C85" s="619">
        <v>0.8</v>
      </c>
    </row>
    <row r="86" spans="1:3" x14ac:dyDescent="0.35">
      <c r="A86" s="351" t="s">
        <v>5683</v>
      </c>
      <c r="C86" s="599">
        <f>C83+C84*C85</f>
        <v>255927900</v>
      </c>
    </row>
    <row r="87" spans="1:3" x14ac:dyDescent="0.35">
      <c r="A87" s="385" t="s">
        <v>5684</v>
      </c>
      <c r="C87" s="188" t="str">
        <f>IF(C86&gt;=250000000,"OK — target met","NEEDS ACTION")</f>
        <v>OK — target met</v>
      </c>
    </row>
    <row r="88" spans="1:3" x14ac:dyDescent="0.35">
      <c r="A88" s="583" t="s">
        <v>5685</v>
      </c>
      <c r="B88" s="570" t="s">
        <v>5686</v>
      </c>
    </row>
  </sheetData>
  <conditionalFormatting sqref="C17:E17">
    <cfRule type="cellIs" dxfId="14" priority="1" operator="equal">
      <formula>"Positive ✓"</formula>
    </cfRule>
  </conditionalFormatting>
  <conditionalFormatting sqref="C17:E17">
    <cfRule type="cellIs" dxfId="13" priority="2" operator="equal">
      <formula>"NEGATIVE ✗"</formula>
    </cfRule>
  </conditionalFormatting>
  <conditionalFormatting sqref="C13:E13">
    <cfRule type="colorScale" priority="3">
      <colorScale>
        <cfvo type="min"/>
        <cfvo type="num" val="0"/>
        <cfvo type="max"/>
        <color rgb="FFF8696B"/>
        <color rgb="FFFFEB84"/>
        <color rgb="FF63BE7B"/>
      </colorScale>
    </cfRule>
  </conditionalFormatting>
  <conditionalFormatting sqref="C30:H30">
    <cfRule type="colorScale" priority="4">
      <colorScale>
        <cfvo type="min"/>
        <cfvo type="num" val="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4516E-8CC5-4A6A-9FD3-028097171C26}">
  <sheetPr>
    <tabColor rgb="FF1B5E20"/>
  </sheetPr>
  <dimension ref="A1:G44"/>
  <sheetViews>
    <sheetView workbookViewId="0">
      <pane ySplit="4" topLeftCell="A19" activePane="bottomLeft" state="frozen"/>
      <selection pane="bottomLeft" activeCell="C38" sqref="C38"/>
    </sheetView>
  </sheetViews>
  <sheetFormatPr defaultRowHeight="14.5" x14ac:dyDescent="0.35"/>
  <cols>
    <col min="1" max="2" width="54.54296875" customWidth="1"/>
    <col min="3" max="7" width="17.26953125" customWidth="1"/>
  </cols>
  <sheetData>
    <row r="1" spans="1:7" ht="21.5" x14ac:dyDescent="0.45">
      <c r="A1" s="607" t="s">
        <v>5413</v>
      </c>
    </row>
    <row r="2" spans="1:7" x14ac:dyDescent="0.35">
      <c r="A2" s="356" t="s">
        <v>5414</v>
      </c>
    </row>
    <row r="4" spans="1:7" x14ac:dyDescent="0.35">
      <c r="A4" s="556" t="s">
        <v>5415</v>
      </c>
      <c r="C4" s="568" t="s">
        <v>12</v>
      </c>
      <c r="D4" s="568" t="s">
        <v>13</v>
      </c>
      <c r="E4" s="568" t="s">
        <v>14</v>
      </c>
      <c r="F4" s="568" t="s">
        <v>15</v>
      </c>
      <c r="G4" s="568" t="s">
        <v>16</v>
      </c>
    </row>
    <row r="5" spans="1:7" x14ac:dyDescent="0.35">
      <c r="A5" t="s">
        <v>1794</v>
      </c>
      <c r="C5" s="572">
        <f>'P&amp;L'!C6</f>
        <v>451723120</v>
      </c>
      <c r="D5" s="572">
        <f>'P&amp;L'!D6</f>
        <v>2980177280</v>
      </c>
      <c r="E5" s="572">
        <f>'P&amp;L'!E6</f>
        <v>14115223775.499996</v>
      </c>
      <c r="F5" s="572">
        <f>'P&amp;L'!F6</f>
        <v>34792138672.73999</v>
      </c>
      <c r="G5" s="572">
        <f>'P&amp;L'!G6</f>
        <v>63947557349.976234</v>
      </c>
    </row>
    <row r="6" spans="1:7" x14ac:dyDescent="0.35">
      <c r="A6" t="s">
        <v>5387</v>
      </c>
      <c r="C6" s="191">
        <f>'P&amp;L'!C9</f>
        <v>-0.39132368960880282</v>
      </c>
      <c r="D6" s="191">
        <f>'P&amp;L'!D9</f>
        <v>9.0192210310387974E-2</v>
      </c>
      <c r="E6" s="191">
        <f>'P&amp;L'!E9</f>
        <v>0.34317010471489401</v>
      </c>
      <c r="F6" s="191">
        <f>'P&amp;L'!F9</f>
        <v>0.41988858596288753</v>
      </c>
      <c r="G6" s="191">
        <f>'P&amp;L'!G9</f>
        <v>0.45263916946528354</v>
      </c>
    </row>
    <row r="7" spans="1:7" x14ac:dyDescent="0.35">
      <c r="A7" t="s">
        <v>19</v>
      </c>
      <c r="C7" s="572">
        <f>'P&amp;L'!C15</f>
        <v>-673665390</v>
      </c>
      <c r="D7" s="572">
        <f>'P&amp;L'!D15</f>
        <v>-669549842.38080001</v>
      </c>
      <c r="E7" s="572">
        <f>'P&amp;L'!E15</f>
        <v>1014039154.1060812</v>
      </c>
      <c r="F7" s="572">
        <f>'P&amp;L'!F15</f>
        <v>7438510050.8565044</v>
      </c>
      <c r="G7" s="572">
        <f>'P&amp;L'!G15</f>
        <v>18975745057.365532</v>
      </c>
    </row>
    <row r="8" spans="1:7" x14ac:dyDescent="0.35">
      <c r="A8" t="s">
        <v>5388</v>
      </c>
      <c r="C8" s="572">
        <f>'P&amp;L'!C21</f>
        <v>-1217897449.0373402</v>
      </c>
      <c r="D8" s="572">
        <f>'P&amp;L'!D21</f>
        <v>-2447801820.9863787</v>
      </c>
      <c r="E8" s="572">
        <f>'P&amp;L'!E21</f>
        <v>-4410505920.3836727</v>
      </c>
      <c r="F8" s="572">
        <f>'P&amp;L'!F21</f>
        <v>-3466545093.964489</v>
      </c>
      <c r="G8" s="572">
        <f>'P&amp;L'!G21</f>
        <v>892142214.04609513</v>
      </c>
    </row>
    <row r="9" spans="1:7" x14ac:dyDescent="0.35">
      <c r="A9" t="s">
        <v>5416</v>
      </c>
      <c r="C9" s="572">
        <f>'Cash Flow'!C9</f>
        <v>-870435797.36986303</v>
      </c>
      <c r="D9" s="572">
        <f>'Cash Flow'!D9</f>
        <v>-1428390816.161622</v>
      </c>
      <c r="E9" s="572">
        <f>'Cash Flow'!E9</f>
        <v>-1207623118.3940897</v>
      </c>
      <c r="F9" s="572">
        <f>'Cash Flow'!F9</f>
        <v>3484882153.7195048</v>
      </c>
      <c r="G9" s="572">
        <f>'Cash Flow'!G9</f>
        <v>13058452433.95112</v>
      </c>
    </row>
    <row r="10" spans="1:7" x14ac:dyDescent="0.35">
      <c r="A10" t="s">
        <v>5417</v>
      </c>
      <c r="C10" s="572">
        <f>Valuation!C25</f>
        <v>-3550331293.8141828</v>
      </c>
      <c r="D10" s="572">
        <f>Valuation!D25</f>
        <v>-7887267900.174571</v>
      </c>
      <c r="E10" s="572">
        <f>Valuation!E25</f>
        <v>-20190002857.537685</v>
      </c>
      <c r="F10" s="572">
        <f>Valuation!F25</f>
        <v>-24332380812.753197</v>
      </c>
      <c r="G10" s="572">
        <f>Valuation!G25</f>
        <v>-20260206174.909325</v>
      </c>
    </row>
    <row r="11" spans="1:7" x14ac:dyDescent="0.35">
      <c r="A11" t="s">
        <v>5418</v>
      </c>
      <c r="C11" s="572">
        <f>'Cash Flow'!C22</f>
        <v>3249668706.1858172</v>
      </c>
      <c r="D11" s="572">
        <f>'Cash Flow'!D22</f>
        <v>4562400806.0112457</v>
      </c>
      <c r="E11" s="572">
        <f>'Cash Flow'!E22</f>
        <v>8772397948.4735603</v>
      </c>
      <c r="F11" s="572">
        <f>'Cash Flow'!F22</f>
        <v>21340017135.720364</v>
      </c>
      <c r="G11" s="572">
        <f>'Cash Flow'!G22</f>
        <v>20109810960.811039</v>
      </c>
    </row>
    <row r="13" spans="1:7" x14ac:dyDescent="0.35">
      <c r="A13" s="556" t="s">
        <v>5419</v>
      </c>
      <c r="C13" s="608"/>
    </row>
    <row r="14" spans="1:7" x14ac:dyDescent="0.35">
      <c r="A14" t="s">
        <v>5420</v>
      </c>
      <c r="C14" s="398">
        <f>MIN('Cash Flow'!C22:G22)</f>
        <v>3249668706.1858172</v>
      </c>
      <c r="D14" t="str">
        <f>IF(C14&gt;=Funding_Plan!C12," above buffer",IF(C14&gt;=0,"thin","NEGATIVE"))</f>
        <v xml:space="preserve"> above buffer</v>
      </c>
    </row>
    <row r="15" spans="1:7" x14ac:dyDescent="0.35">
      <c r="A15" t="s">
        <v>5421</v>
      </c>
      <c r="C15" s="380">
        <f>Funding_Plan!H20+Funding_Plan!H21</f>
        <v>100000000000</v>
      </c>
    </row>
    <row r="16" spans="1:7" x14ac:dyDescent="0.35">
      <c r="A16" t="s">
        <v>5422</v>
      </c>
      <c r="C16" s="398">
        <f>Funding_Plan!G28</f>
        <v>8672926105.0659943</v>
      </c>
    </row>
    <row r="17" spans="1:4" x14ac:dyDescent="0.35">
      <c r="A17" t="s">
        <v>5423</v>
      </c>
      <c r="C17" t="str">
        <f>"Y"&amp;'P&amp;L'!H17</f>
        <v>Y3</v>
      </c>
    </row>
    <row r="18" spans="1:4" x14ac:dyDescent="0.35">
      <c r="A18" t="s">
        <v>5424</v>
      </c>
      <c r="C18" s="398">
        <f>Valuation!C30</f>
        <v>-46215056002.665894</v>
      </c>
    </row>
    <row r="19" spans="1:4" x14ac:dyDescent="0.35">
      <c r="A19" t="s">
        <v>5425</v>
      </c>
      <c r="C19" s="398">
        <f>Valuation!C45</f>
        <v>47845413542.513168</v>
      </c>
    </row>
    <row r="20" spans="1:4" x14ac:dyDescent="0.35">
      <c r="A20" t="s">
        <v>5426</v>
      </c>
      <c r="C20" s="398">
        <f>Valuation!C47</f>
        <v>38455224503.324203</v>
      </c>
    </row>
    <row r="21" spans="1:4" x14ac:dyDescent="0.35">
      <c r="A21" t="s">
        <v>5427</v>
      </c>
      <c r="C21" t="str">
        <f>TEXT(Valuation!C55/1000000000,"0.0")&amp;" / "&amp;TEXT(Valuation!D55/1000000000,"0.0")&amp;" / "&amp;TEXT(Valuation!E55/1000000000,"0.0")&amp;" (Rp B)"</f>
        <v>01 / 38 / 76 (Rp B)</v>
      </c>
    </row>
    <row r="22" spans="1:4" x14ac:dyDescent="0.35">
      <c r="A22" t="s">
        <v>5428</v>
      </c>
      <c r="C22" s="586">
        <f>Valuation!C61</f>
        <v>0.29355133208644429</v>
      </c>
    </row>
    <row r="23" spans="1:4" x14ac:dyDescent="0.35">
      <c r="A23" t="s">
        <v>5429</v>
      </c>
      <c r="C23" s="191">
        <f>Valuation!C63</f>
        <v>-0.26392678600031061</v>
      </c>
    </row>
    <row r="24" spans="1:4" x14ac:dyDescent="0.35">
      <c r="A24" s="188" t="s">
        <v>5430</v>
      </c>
      <c r="C24" s="400">
        <f>'Swap Hub Econ'!D17</f>
        <v>-93600000</v>
      </c>
      <c r="D24" s="354" t="s">
        <v>5619</v>
      </c>
    </row>
    <row r="25" spans="1:4" x14ac:dyDescent="0.35">
      <c r="A25" t="s">
        <v>5431</v>
      </c>
      <c r="C25" s="191">
        <f>'Swap Hub Econ'!C35</f>
        <v>0.91200000000000003</v>
      </c>
      <c r="D25" s="570" t="s">
        <v>5620</v>
      </c>
    </row>
    <row r="27" spans="1:4" x14ac:dyDescent="0.35">
      <c r="A27" s="556" t="s">
        <v>5432</v>
      </c>
      <c r="C27" s="608"/>
      <c r="D27" s="608"/>
    </row>
    <row r="28" spans="1:4" x14ac:dyDescent="0.35">
      <c r="B28" s="349" t="s">
        <v>2619</v>
      </c>
      <c r="C28" s="609" t="s">
        <v>5260</v>
      </c>
      <c r="D28" s="609" t="s">
        <v>4109</v>
      </c>
    </row>
    <row r="29" spans="1:4" x14ac:dyDescent="0.35">
      <c r="B29" t="s">
        <v>5433</v>
      </c>
      <c r="C29" s="560">
        <f>IF(MAX(ABS('Balance Sheet'!C26),ABS('Balance Sheet'!G26))&lt;1000,100,0)</f>
        <v>100</v>
      </c>
      <c r="D29" s="560">
        <v>12</v>
      </c>
    </row>
    <row r="30" spans="1:4" x14ac:dyDescent="0.35">
      <c r="B30" t="s">
        <v>5434</v>
      </c>
      <c r="C30" s="560">
        <f>IF(MIN('Cash Flow'!C22:G22)&gt;=Funding_Plan!C12,100,IF(MIN('Cash Flow'!C22:G22)&gt;=0,70,30))</f>
        <v>100</v>
      </c>
      <c r="D30" s="560">
        <v>15</v>
      </c>
    </row>
    <row r="31" spans="1:4" x14ac:dyDescent="0.35">
      <c r="B31" t="s">
        <v>5435</v>
      </c>
      <c r="C31" s="560">
        <f>IF(MIN(Funding_Plan!C28:G28)&gt;=0,100,40)</f>
        <v>100</v>
      </c>
      <c r="D31" s="560">
        <v>12</v>
      </c>
    </row>
    <row r="32" spans="1:4" x14ac:dyDescent="0.35">
      <c r="B32" t="s">
        <v>5436</v>
      </c>
      <c r="C32" s="560">
        <v>100</v>
      </c>
      <c r="D32" s="560">
        <v>8</v>
      </c>
    </row>
    <row r="33" spans="1:4" x14ac:dyDescent="0.35">
      <c r="B33" t="s">
        <v>5437</v>
      </c>
      <c r="C33" s="560">
        <v>100</v>
      </c>
      <c r="D33" s="560">
        <v>10</v>
      </c>
    </row>
    <row r="34" spans="1:4" x14ac:dyDescent="0.35">
      <c r="B34" t="s">
        <v>5438</v>
      </c>
      <c r="C34" s="560">
        <v>95</v>
      </c>
      <c r="D34" s="560">
        <v>12</v>
      </c>
    </row>
    <row r="35" spans="1:4" x14ac:dyDescent="0.35">
      <c r="B35" t="s">
        <v>5439</v>
      </c>
      <c r="C35" s="560">
        <v>90</v>
      </c>
      <c r="D35" s="560">
        <v>8</v>
      </c>
    </row>
    <row r="36" spans="1:4" x14ac:dyDescent="0.35">
      <c r="B36" t="s">
        <v>5440</v>
      </c>
      <c r="C36" s="560">
        <v>80</v>
      </c>
      <c r="D36" s="560">
        <v>8</v>
      </c>
    </row>
    <row r="37" spans="1:4" x14ac:dyDescent="0.35">
      <c r="B37" t="s">
        <v>5441</v>
      </c>
      <c r="C37" s="560">
        <v>85</v>
      </c>
      <c r="D37" s="560">
        <v>5</v>
      </c>
    </row>
    <row r="38" spans="1:4" x14ac:dyDescent="0.35">
      <c r="B38" s="557" t="s">
        <v>5442</v>
      </c>
      <c r="C38" s="560">
        <f>IF('Swap Hub Econ'!D17&gt;0,100,IF('Swap Hub Econ'!E17&gt;0,40,30))</f>
        <v>40</v>
      </c>
      <c r="D38" s="560">
        <v>10</v>
      </c>
    </row>
    <row r="40" spans="1:4" ht="21" x14ac:dyDescent="0.5">
      <c r="A40" s="188" t="s">
        <v>5443</v>
      </c>
      <c r="C40" s="611">
        <f>ROUND((SUMPRODUCT(C29:C37,D29:D37))/SUM(D29:D37),0)</f>
        <v>96</v>
      </c>
    </row>
    <row r="41" spans="1:4" ht="21" x14ac:dyDescent="0.5">
      <c r="A41" s="188" t="s">
        <v>5444</v>
      </c>
      <c r="C41" s="612">
        <f>ROUND(SUMPRODUCT(C29:C38,D29:D38)/SUM(D29:D38),0)</f>
        <v>90</v>
      </c>
    </row>
    <row r="42" spans="1:4" x14ac:dyDescent="0.35">
      <c r="A42" t="s">
        <v>5445</v>
      </c>
      <c r="C42" s="610">
        <v>40</v>
      </c>
    </row>
    <row r="44" spans="1:4" ht="15.5" x14ac:dyDescent="0.35">
      <c r="A44" s="613" t="s">
        <v>5259</v>
      </c>
      <c r="B44" s="614"/>
      <c r="C44" s="615" t="str">
        <f>IF('Swap Hub Econ'!D17&gt;0,"Ready for institutional diligence","Ready for angel/seed — unit economics must be proven before institutional round")</f>
        <v>Ready for angel/seed — unit economics must be proven before institutional round</v>
      </c>
    </row>
  </sheetData>
  <conditionalFormatting sqref="C29:C38">
    <cfRule type="colorScale" priority="1">
      <colorScale>
        <cfvo type="num" val="30"/>
        <cfvo type="num" val="70"/>
        <cfvo type="num" val="100"/>
        <color rgb="FFF8696B"/>
        <color rgb="FFFFEB84"/>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B7E2E-B9EE-4830-8153-CE66CBD15F12}">
  <sheetPr>
    <tabColor rgb="FF1B5E20"/>
  </sheetPr>
  <dimension ref="A1:H21"/>
  <sheetViews>
    <sheetView workbookViewId="0">
      <pane ySplit="4" topLeftCell="A5" activePane="bottomLeft" state="frozen"/>
      <selection pane="bottomLeft"/>
    </sheetView>
  </sheetViews>
  <sheetFormatPr defaultRowHeight="14.5" x14ac:dyDescent="0.35"/>
  <cols>
    <col min="1" max="1" width="41.81640625" customWidth="1"/>
    <col min="2" max="2" width="25.453125" customWidth="1"/>
    <col min="3" max="3" width="12.7265625" customWidth="1"/>
    <col min="4" max="4" width="29.08984375" customWidth="1"/>
    <col min="5" max="5" width="20" customWidth="1"/>
    <col min="6" max="6" width="13.6328125" customWidth="1"/>
    <col min="7" max="7" width="20" customWidth="1"/>
    <col min="8" max="8" width="54.54296875" customWidth="1"/>
  </cols>
  <sheetData>
    <row r="1" spans="1:8" ht="19" x14ac:dyDescent="0.4">
      <c r="A1" s="567" t="s">
        <v>5503</v>
      </c>
    </row>
    <row r="2" spans="1:8" x14ac:dyDescent="0.35">
      <c r="A2" s="356" t="s">
        <v>5504</v>
      </c>
    </row>
    <row r="4" spans="1:8" x14ac:dyDescent="0.35">
      <c r="A4" s="556" t="s">
        <v>1533</v>
      </c>
      <c r="B4" s="556" t="s">
        <v>2429</v>
      </c>
      <c r="C4" s="556" t="s">
        <v>1377</v>
      </c>
      <c r="D4" s="556" t="s">
        <v>1378</v>
      </c>
      <c r="E4" s="556" t="s">
        <v>1487</v>
      </c>
      <c r="F4" s="556" t="s">
        <v>1198</v>
      </c>
      <c r="G4" s="556" t="s">
        <v>3022</v>
      </c>
      <c r="H4" s="556" t="s">
        <v>5505</v>
      </c>
    </row>
    <row r="5" spans="1:8" x14ac:dyDescent="0.35">
      <c r="A5" t="s">
        <v>5506</v>
      </c>
      <c r="B5" s="380">
        <f>Funding_Plan!C12</f>
        <v>3000000000</v>
      </c>
      <c r="C5" t="s">
        <v>1450</v>
      </c>
      <c r="D5" t="s">
        <v>5507</v>
      </c>
      <c r="E5" t="s">
        <v>1533</v>
      </c>
      <c r="F5" t="s">
        <v>172</v>
      </c>
      <c r="G5" t="s">
        <v>1260</v>
      </c>
      <c r="H5" s="344" t="s">
        <v>5508</v>
      </c>
    </row>
    <row r="6" spans="1:8" x14ac:dyDescent="0.35">
      <c r="A6" t="s">
        <v>5509</v>
      </c>
      <c r="B6" s="380">
        <f>Funding_Plan!H13</f>
        <v>11000000000</v>
      </c>
      <c r="C6" t="s">
        <v>1450</v>
      </c>
      <c r="D6" t="s">
        <v>5510</v>
      </c>
      <c r="E6" t="s">
        <v>1533</v>
      </c>
      <c r="F6" t="s">
        <v>172</v>
      </c>
      <c r="G6" t="s">
        <v>5255</v>
      </c>
      <c r="H6" s="344" t="s">
        <v>5511</v>
      </c>
    </row>
    <row r="7" spans="1:8" x14ac:dyDescent="0.35">
      <c r="A7" t="s">
        <v>5512</v>
      </c>
      <c r="B7" s="380">
        <f>Funding_Plan!H14</f>
        <v>2500000000</v>
      </c>
      <c r="C7" t="s">
        <v>1450</v>
      </c>
      <c r="D7" t="s">
        <v>5287</v>
      </c>
      <c r="E7" t="s">
        <v>1533</v>
      </c>
      <c r="F7" t="s">
        <v>168</v>
      </c>
      <c r="G7" t="s">
        <v>1260</v>
      </c>
      <c r="H7" s="344" t="s">
        <v>5513</v>
      </c>
    </row>
    <row r="8" spans="1:8" x14ac:dyDescent="0.35">
      <c r="A8" t="s">
        <v>5514</v>
      </c>
      <c r="B8" s="380">
        <f>Funding_Plan!H15</f>
        <v>2000000000</v>
      </c>
      <c r="C8" t="s">
        <v>1450</v>
      </c>
      <c r="D8" t="s">
        <v>5287</v>
      </c>
      <c r="E8" t="s">
        <v>1533</v>
      </c>
      <c r="F8" t="s">
        <v>168</v>
      </c>
      <c r="G8" t="s">
        <v>1260</v>
      </c>
      <c r="H8" s="344" t="s">
        <v>5515</v>
      </c>
    </row>
    <row r="9" spans="1:8" x14ac:dyDescent="0.35">
      <c r="A9" t="s">
        <v>5516</v>
      </c>
      <c r="B9" s="191">
        <f>Valuation!C14</f>
        <v>0.15069000000000002</v>
      </c>
      <c r="C9" t="s">
        <v>1385</v>
      </c>
      <c r="D9" t="s">
        <v>5517</v>
      </c>
      <c r="E9" t="s">
        <v>5518</v>
      </c>
      <c r="F9" t="s">
        <v>172</v>
      </c>
      <c r="G9" t="s">
        <v>1260</v>
      </c>
      <c r="H9" s="344" t="s">
        <v>5519</v>
      </c>
    </row>
    <row r="10" spans="1:8" x14ac:dyDescent="0.35">
      <c r="A10" t="s">
        <v>5520</v>
      </c>
      <c r="B10" s="193">
        <f>Valuation!C33</f>
        <v>10</v>
      </c>
      <c r="C10" t="s">
        <v>5521</v>
      </c>
      <c r="D10" t="s">
        <v>5522</v>
      </c>
      <c r="E10" t="s">
        <v>1533</v>
      </c>
      <c r="F10" t="s">
        <v>172</v>
      </c>
      <c r="G10" t="s">
        <v>1260</v>
      </c>
      <c r="H10" s="344" t="s">
        <v>5523</v>
      </c>
    </row>
    <row r="11" spans="1:8" x14ac:dyDescent="0.35">
      <c r="A11" t="s">
        <v>5524</v>
      </c>
      <c r="B11" s="191">
        <f>Valuation!C37</f>
        <v>0.03</v>
      </c>
      <c r="C11" t="s">
        <v>1385</v>
      </c>
      <c r="D11" t="s">
        <v>5525</v>
      </c>
      <c r="E11" t="s">
        <v>1533</v>
      </c>
      <c r="F11" t="s">
        <v>168</v>
      </c>
      <c r="G11" t="s">
        <v>1260</v>
      </c>
      <c r="H11" s="344" t="s">
        <v>329</v>
      </c>
    </row>
    <row r="12" spans="1:8" x14ac:dyDescent="0.35">
      <c r="A12" t="s">
        <v>5526</v>
      </c>
      <c r="B12" s="380">
        <f>Funding_Plan!C32</f>
        <v>120000000000</v>
      </c>
      <c r="C12" t="s">
        <v>1450</v>
      </c>
      <c r="D12" t="s">
        <v>5527</v>
      </c>
      <c r="E12" t="s">
        <v>5518</v>
      </c>
      <c r="F12" t="s">
        <v>172</v>
      </c>
      <c r="G12" t="s">
        <v>5255</v>
      </c>
      <c r="H12" s="344" t="s">
        <v>5528</v>
      </c>
    </row>
    <row r="13" spans="1:8" x14ac:dyDescent="0.35">
      <c r="A13" t="s">
        <v>5530</v>
      </c>
      <c r="B13" s="380">
        <f>'Swap Hub Econ'!D15</f>
        <v>22800000</v>
      </c>
      <c r="C13" t="s">
        <v>4830</v>
      </c>
      <c r="D13" t="s">
        <v>205</v>
      </c>
      <c r="E13" t="s">
        <v>5518</v>
      </c>
      <c r="F13" t="s">
        <v>172</v>
      </c>
      <c r="G13" t="s">
        <v>5253</v>
      </c>
      <c r="H13" s="344" t="s">
        <v>5529</v>
      </c>
    </row>
    <row r="14" spans="1:8" x14ac:dyDescent="0.35">
      <c r="A14" t="s">
        <v>5531</v>
      </c>
      <c r="B14" s="380">
        <f>'Swap Hub Econ'!D7</f>
        <v>50</v>
      </c>
      <c r="C14" t="s">
        <v>820</v>
      </c>
      <c r="D14" t="s">
        <v>5532</v>
      </c>
      <c r="E14" t="s">
        <v>1533</v>
      </c>
      <c r="F14" t="s">
        <v>172</v>
      </c>
      <c r="G14" t="s">
        <v>5253</v>
      </c>
      <c r="H14" s="344" t="s">
        <v>5533</v>
      </c>
    </row>
    <row r="15" spans="1:8" x14ac:dyDescent="0.35">
      <c r="A15" t="s">
        <v>5534</v>
      </c>
      <c r="B15" s="191">
        <f>'Swap Hub Econ'!D8</f>
        <v>0.6</v>
      </c>
      <c r="C15" t="s">
        <v>1385</v>
      </c>
      <c r="D15" t="s">
        <v>1425</v>
      </c>
      <c r="E15" t="s">
        <v>1533</v>
      </c>
      <c r="F15" t="s">
        <v>172</v>
      </c>
      <c r="G15" t="s">
        <v>5253</v>
      </c>
      <c r="H15" s="344" t="s">
        <v>5535</v>
      </c>
    </row>
    <row r="16" spans="1:8" x14ac:dyDescent="0.35">
      <c r="A16" t="s">
        <v>1437</v>
      </c>
      <c r="B16" s="380">
        <f>SwapPrice</f>
        <v>500000</v>
      </c>
      <c r="C16" t="s">
        <v>4830</v>
      </c>
      <c r="D16" t="s">
        <v>5536</v>
      </c>
      <c r="E16" t="s">
        <v>1533</v>
      </c>
      <c r="F16" t="s">
        <v>172</v>
      </c>
      <c r="G16" t="s">
        <v>5254</v>
      </c>
      <c r="H16" s="344" t="s">
        <v>5537</v>
      </c>
    </row>
    <row r="17" spans="1:8" x14ac:dyDescent="0.35">
      <c r="A17" t="s">
        <v>5251</v>
      </c>
      <c r="B17" s="380">
        <f>FX</f>
        <v>16000</v>
      </c>
      <c r="C17" t="s">
        <v>1389</v>
      </c>
      <c r="D17" t="s">
        <v>5538</v>
      </c>
      <c r="E17" t="s">
        <v>3921</v>
      </c>
      <c r="F17" t="s">
        <v>172</v>
      </c>
      <c r="G17" t="s">
        <v>1260</v>
      </c>
      <c r="H17" s="344" t="s">
        <v>5539</v>
      </c>
    </row>
    <row r="18" spans="1:8" x14ac:dyDescent="0.35">
      <c r="A18" t="s">
        <v>5540</v>
      </c>
      <c r="B18" s="191">
        <f>BatDegradation</f>
        <v>0.05</v>
      </c>
      <c r="C18" t="s">
        <v>5541</v>
      </c>
      <c r="D18" t="s">
        <v>1422</v>
      </c>
      <c r="E18" t="s">
        <v>5518</v>
      </c>
      <c r="F18" t="s">
        <v>172</v>
      </c>
      <c r="G18" t="s">
        <v>4041</v>
      </c>
      <c r="H18" s="344" t="s">
        <v>5542</v>
      </c>
    </row>
    <row r="19" spans="1:8" x14ac:dyDescent="0.35">
      <c r="A19" t="s">
        <v>5543</v>
      </c>
      <c r="B19" s="425">
        <f>'P&amp;L'!B45</f>
        <v>0.5</v>
      </c>
      <c r="C19" t="s">
        <v>5544</v>
      </c>
      <c r="D19" t="s">
        <v>1393</v>
      </c>
      <c r="E19" t="s">
        <v>3921</v>
      </c>
      <c r="F19" t="s">
        <v>172</v>
      </c>
      <c r="G19" t="s">
        <v>4041</v>
      </c>
      <c r="H19" s="344" t="s">
        <v>5545</v>
      </c>
    </row>
    <row r="20" spans="1:8" x14ac:dyDescent="0.35">
      <c r="A20" t="s">
        <v>5546</v>
      </c>
      <c r="B20" s="191">
        <f>'P&amp;L'!B47</f>
        <v>2.5000000000000001E-2</v>
      </c>
      <c r="C20" t="s">
        <v>5547</v>
      </c>
      <c r="D20" t="s">
        <v>1393</v>
      </c>
      <c r="E20" t="s">
        <v>1533</v>
      </c>
      <c r="F20" t="s">
        <v>168</v>
      </c>
      <c r="G20" t="s">
        <v>4041</v>
      </c>
      <c r="H20" s="344" t="s">
        <v>5548</v>
      </c>
    </row>
    <row r="21" spans="1:8" x14ac:dyDescent="0.35">
      <c r="A21" t="s">
        <v>5549</v>
      </c>
      <c r="B21" t="s">
        <v>5550</v>
      </c>
      <c r="C21" t="s">
        <v>5521</v>
      </c>
      <c r="D21" t="s">
        <v>5551</v>
      </c>
      <c r="E21" t="s">
        <v>1533</v>
      </c>
      <c r="F21" t="s">
        <v>168</v>
      </c>
      <c r="G21" t="s">
        <v>1260</v>
      </c>
      <c r="H21" s="344" t="s">
        <v>5552</v>
      </c>
    </row>
  </sheetData>
  <conditionalFormatting sqref="E5:E21">
    <cfRule type="cellIs" dxfId="12" priority="1" operator="equal">
      <formula>"Verified"</formula>
    </cfRule>
  </conditionalFormatting>
  <conditionalFormatting sqref="E5:E21">
    <cfRule type="cellIs" dxfId="11" priority="2" operator="equal">
      <formula>"Assumption"</formula>
    </cfRule>
  </conditionalFormatting>
  <conditionalFormatting sqref="E5:E21">
    <cfRule type="cellIs" dxfId="10" priority="3" operator="equal">
      <formula>"Estimate"</formula>
    </cfRule>
  </conditionalFormatting>
  <conditionalFormatting sqref="E5:E21">
    <cfRule type="cellIs" dxfId="9" priority="4" operator="equal">
      <formula>"Missing Data"</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35849-033B-4228-A9E7-25E2F48D7F37}">
  <sheetPr>
    <tabColor rgb="FF1B5E20"/>
  </sheetPr>
  <dimension ref="A1:E19"/>
  <sheetViews>
    <sheetView workbookViewId="0">
      <pane ySplit="4" topLeftCell="A5" activePane="bottomLeft" state="frozen"/>
      <selection pane="bottomLeft"/>
    </sheetView>
  </sheetViews>
  <sheetFormatPr defaultRowHeight="14.5" x14ac:dyDescent="0.35"/>
  <cols>
    <col min="1" max="1" width="27.26953125" customWidth="1"/>
    <col min="2" max="2" width="50.90625" customWidth="1"/>
    <col min="3" max="3" width="54.54296875" customWidth="1"/>
    <col min="4" max="4" width="50.90625" customWidth="1"/>
    <col min="5" max="5" width="21.81640625" customWidth="1"/>
  </cols>
  <sheetData>
    <row r="1" spans="1:5" ht="19" x14ac:dyDescent="0.4">
      <c r="A1" s="567" t="s">
        <v>5458</v>
      </c>
    </row>
    <row r="2" spans="1:5" x14ac:dyDescent="0.35">
      <c r="A2" s="356" t="s">
        <v>5459</v>
      </c>
    </row>
    <row r="4" spans="1:5" x14ac:dyDescent="0.35">
      <c r="A4" s="556" t="s">
        <v>5460</v>
      </c>
      <c r="B4" s="556" t="s">
        <v>5461</v>
      </c>
      <c r="C4" s="556" t="s">
        <v>5462</v>
      </c>
      <c r="D4" s="556" t="s">
        <v>5463</v>
      </c>
      <c r="E4" s="556" t="s">
        <v>1487</v>
      </c>
    </row>
    <row r="5" spans="1:5" ht="29" x14ac:dyDescent="0.35">
      <c r="A5" s="558" t="s">
        <v>5464</v>
      </c>
      <c r="B5" s="558" t="s">
        <v>5621</v>
      </c>
      <c r="C5" s="558" t="s">
        <v>5465</v>
      </c>
      <c r="D5" s="558" t="s">
        <v>5466</v>
      </c>
      <c r="E5" s="558" t="s">
        <v>5467</v>
      </c>
    </row>
    <row r="6" spans="1:5" ht="29" x14ac:dyDescent="0.35">
      <c r="A6" s="558" t="s">
        <v>5468</v>
      </c>
      <c r="B6" s="558" t="s">
        <v>5469</v>
      </c>
      <c r="C6" s="558" t="s">
        <v>5470</v>
      </c>
      <c r="D6" s="558" t="s">
        <v>5471</v>
      </c>
      <c r="E6" s="558" t="s">
        <v>5467</v>
      </c>
    </row>
    <row r="7" spans="1:5" ht="29" x14ac:dyDescent="0.35">
      <c r="A7" s="558" t="s">
        <v>5472</v>
      </c>
      <c r="B7" s="558" t="s">
        <v>5473</v>
      </c>
      <c r="C7" s="558" t="s">
        <v>5474</v>
      </c>
      <c r="D7" s="558" t="s">
        <v>5475</v>
      </c>
      <c r="E7" s="558" t="s">
        <v>5467</v>
      </c>
    </row>
    <row r="8" spans="1:5" ht="29" x14ac:dyDescent="0.35">
      <c r="A8" s="558" t="s">
        <v>5476</v>
      </c>
      <c r="B8" s="558" t="s">
        <v>5477</v>
      </c>
      <c r="C8" s="558" t="s">
        <v>5478</v>
      </c>
      <c r="D8" s="558" t="s">
        <v>5479</v>
      </c>
      <c r="E8" s="558" t="s">
        <v>5467</v>
      </c>
    </row>
    <row r="9" spans="1:5" ht="29" x14ac:dyDescent="0.35">
      <c r="A9" s="558" t="s">
        <v>5480</v>
      </c>
      <c r="B9" s="558" t="s">
        <v>5481</v>
      </c>
      <c r="C9" s="558" t="s">
        <v>5482</v>
      </c>
      <c r="D9" s="558" t="s">
        <v>5483</v>
      </c>
      <c r="E9" s="558" t="s">
        <v>5467</v>
      </c>
    </row>
    <row r="10" spans="1:5" ht="29" x14ac:dyDescent="0.35">
      <c r="A10" s="558" t="s">
        <v>5484</v>
      </c>
      <c r="B10" s="558" t="s">
        <v>5485</v>
      </c>
      <c r="C10" s="558" t="s">
        <v>5486</v>
      </c>
      <c r="D10" s="558" t="s">
        <v>5487</v>
      </c>
      <c r="E10" s="558" t="s">
        <v>5467</v>
      </c>
    </row>
    <row r="11" spans="1:5" ht="29" x14ac:dyDescent="0.35">
      <c r="A11" s="558" t="s">
        <v>5488</v>
      </c>
      <c r="B11" s="558" t="s">
        <v>5489</v>
      </c>
      <c r="C11" s="558" t="s">
        <v>5490</v>
      </c>
      <c r="D11" s="558" t="s">
        <v>5491</v>
      </c>
      <c r="E11" s="558" t="s">
        <v>5467</v>
      </c>
    </row>
    <row r="12" spans="1:5" ht="29" x14ac:dyDescent="0.35">
      <c r="A12" s="558" t="s">
        <v>5492</v>
      </c>
      <c r="B12" s="558" t="s">
        <v>5493</v>
      </c>
      <c r="C12" s="558" t="s">
        <v>5622</v>
      </c>
      <c r="D12" s="558" t="s">
        <v>5494</v>
      </c>
      <c r="E12" s="558" t="s">
        <v>5495</v>
      </c>
    </row>
    <row r="13" spans="1:5" x14ac:dyDescent="0.35">
      <c r="A13" s="558" t="s">
        <v>5261</v>
      </c>
      <c r="B13" s="558" t="s">
        <v>5496</v>
      </c>
      <c r="C13" s="558" t="s">
        <v>5497</v>
      </c>
      <c r="D13" s="558" t="s">
        <v>5498</v>
      </c>
      <c r="E13" s="558" t="s">
        <v>5467</v>
      </c>
    </row>
    <row r="14" spans="1:5" ht="29" x14ac:dyDescent="0.35">
      <c r="A14" s="558" t="s">
        <v>5499</v>
      </c>
      <c r="B14" s="558" t="s">
        <v>5500</v>
      </c>
      <c r="C14" s="558" t="s">
        <v>5501</v>
      </c>
      <c r="D14" s="558" t="s">
        <v>5502</v>
      </c>
      <c r="E14" s="558" t="s">
        <v>5467</v>
      </c>
    </row>
    <row r="16" spans="1:5" ht="43.5" x14ac:dyDescent="0.35">
      <c r="A16" s="558" t="s">
        <v>5627</v>
      </c>
      <c r="B16" s="558" t="s">
        <v>5628</v>
      </c>
      <c r="C16" s="558" t="s">
        <v>5629</v>
      </c>
      <c r="D16" s="558" t="s">
        <v>5630</v>
      </c>
      <c r="E16" s="558" t="s">
        <v>5467</v>
      </c>
    </row>
    <row r="17" spans="1:5" ht="29" x14ac:dyDescent="0.35">
      <c r="A17" s="558" t="s">
        <v>5262</v>
      </c>
      <c r="B17" s="558" t="s">
        <v>5631</v>
      </c>
      <c r="C17" s="558" t="s">
        <v>5632</v>
      </c>
      <c r="D17" s="558" t="s">
        <v>5633</v>
      </c>
      <c r="E17" s="558" t="s">
        <v>5467</v>
      </c>
    </row>
    <row r="18" spans="1:5" ht="29" x14ac:dyDescent="0.35">
      <c r="A18" s="558" t="s">
        <v>5263</v>
      </c>
      <c r="B18" s="558" t="s">
        <v>5634</v>
      </c>
      <c r="C18" s="558" t="s">
        <v>5635</v>
      </c>
      <c r="D18" s="558" t="s">
        <v>5633</v>
      </c>
      <c r="E18" s="558" t="s">
        <v>5467</v>
      </c>
    </row>
    <row r="19" spans="1:5" x14ac:dyDescent="0.35">
      <c r="A19" s="558" t="s">
        <v>5636</v>
      </c>
      <c r="B19" s="558" t="s">
        <v>5637</v>
      </c>
      <c r="C19" s="558" t="s">
        <v>5638</v>
      </c>
      <c r="D19" s="558" t="s">
        <v>5639</v>
      </c>
      <c r="E19" s="558" t="s">
        <v>5467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B4DBE-B6D2-4BB6-8221-4A0AC627381E}">
  <sheetPr>
    <tabColor rgb="FF1B5E20"/>
  </sheetPr>
  <dimension ref="A1:G31"/>
  <sheetViews>
    <sheetView tabSelected="1" workbookViewId="0">
      <pane ySplit="4" topLeftCell="A5" activePane="bottomLeft" state="frozen"/>
      <selection pane="bottomLeft" activeCell="E28" sqref="E28"/>
    </sheetView>
  </sheetViews>
  <sheetFormatPr defaultRowHeight="14.5" x14ac:dyDescent="0.35"/>
  <cols>
    <col min="1" max="1" width="54.54296875" customWidth="1"/>
    <col min="2" max="2" width="25.453125" customWidth="1"/>
    <col min="3" max="7" width="17.26953125" customWidth="1"/>
  </cols>
  <sheetData>
    <row r="1" spans="1:7" ht="19" x14ac:dyDescent="0.4">
      <c r="A1" s="643">
        <v>0.01</v>
      </c>
    </row>
    <row r="2" spans="1:7" x14ac:dyDescent="0.35">
      <c r="A2" s="356" t="s">
        <v>5787</v>
      </c>
    </row>
    <row r="4" spans="1:7" x14ac:dyDescent="0.35">
      <c r="A4" s="349" t="s">
        <v>5640</v>
      </c>
    </row>
    <row r="5" spans="1:7" x14ac:dyDescent="0.35">
      <c r="A5" s="556" t="s">
        <v>2684</v>
      </c>
      <c r="B5" s="556" t="s">
        <v>5641</v>
      </c>
      <c r="C5" s="556" t="s">
        <v>5642</v>
      </c>
      <c r="D5" s="556" t="s">
        <v>5643</v>
      </c>
      <c r="E5" s="556" t="s">
        <v>5644</v>
      </c>
    </row>
    <row r="6" spans="1:7" x14ac:dyDescent="0.35">
      <c r="A6" t="s">
        <v>5645</v>
      </c>
      <c r="B6" s="402">
        <v>18000</v>
      </c>
      <c r="C6" s="402">
        <v>10000</v>
      </c>
      <c r="D6" s="432">
        <v>0.85</v>
      </c>
      <c r="E6" s="380">
        <f>B6*C6*12*D6</f>
        <v>1836000000</v>
      </c>
    </row>
    <row r="7" spans="1:7" x14ac:dyDescent="0.35">
      <c r="A7" t="s">
        <v>5646</v>
      </c>
      <c r="B7" s="402">
        <v>8</v>
      </c>
      <c r="C7" s="402">
        <v>200000000</v>
      </c>
      <c r="D7" s="432">
        <v>0.7</v>
      </c>
      <c r="E7" s="380">
        <f>B7*C7*D7</f>
        <v>1120000000</v>
      </c>
    </row>
    <row r="8" spans="1:7" x14ac:dyDescent="0.35">
      <c r="A8" t="s">
        <v>5647</v>
      </c>
      <c r="B8" s="402">
        <v>1600000000</v>
      </c>
      <c r="C8" s="570" t="s">
        <v>5648</v>
      </c>
      <c r="D8" s="432">
        <v>0.55000000000000004</v>
      </c>
      <c r="E8" s="380">
        <f>B8*D8</f>
        <v>880000000.00000012</v>
      </c>
    </row>
    <row r="9" spans="1:7" x14ac:dyDescent="0.35">
      <c r="A9" t="s">
        <v>5649</v>
      </c>
      <c r="B9" s="402">
        <v>1300000000</v>
      </c>
      <c r="C9" s="570" t="s">
        <v>5650</v>
      </c>
      <c r="E9" s="380">
        <f>B9</f>
        <v>1300000000</v>
      </c>
    </row>
    <row r="10" spans="1:7" x14ac:dyDescent="0.35">
      <c r="A10" t="s">
        <v>5651</v>
      </c>
      <c r="B10" s="380">
        <f>-('P&amp;L'!G12+'P&amp;L'!G13+'P&amp;L'!G14)</f>
        <v>9969424190.8612957</v>
      </c>
      <c r="C10" s="570" t="s">
        <v>5652</v>
      </c>
      <c r="D10" s="432">
        <v>0.06</v>
      </c>
      <c r="E10" s="380">
        <f>B10*D10</f>
        <v>598165451.45167768</v>
      </c>
    </row>
    <row r="11" spans="1:7" x14ac:dyDescent="0.35">
      <c r="A11" t="s">
        <v>5653</v>
      </c>
      <c r="B11" s="380">
        <f>-'P&amp;L'!G7</f>
        <v>35002388101.749405</v>
      </c>
      <c r="C11" s="570" t="s">
        <v>5654</v>
      </c>
      <c r="D11" s="432">
        <v>1.4999999999999999E-2</v>
      </c>
      <c r="E11" s="380">
        <f>B11*D11</f>
        <v>525035821.52624106</v>
      </c>
    </row>
    <row r="12" spans="1:7" x14ac:dyDescent="0.35">
      <c r="A12" s="188" t="s">
        <v>5655</v>
      </c>
      <c r="E12" s="633">
        <f>SUM(E6:E11)</f>
        <v>6259201272.9779186</v>
      </c>
    </row>
    <row r="14" spans="1:7" x14ac:dyDescent="0.35">
      <c r="A14" s="349" t="s">
        <v>5656</v>
      </c>
      <c r="C14" s="644" t="s">
        <v>12</v>
      </c>
      <c r="D14" s="568" t="s">
        <v>13</v>
      </c>
      <c r="E14" s="568" t="s">
        <v>14</v>
      </c>
      <c r="F14" s="568" t="s">
        <v>15</v>
      </c>
      <c r="G14" s="568" t="s">
        <v>16</v>
      </c>
    </row>
    <row r="15" spans="1:7" x14ac:dyDescent="0.35">
      <c r="A15" t="s">
        <v>5657</v>
      </c>
      <c r="C15" s="432">
        <v>0</v>
      </c>
      <c r="D15" s="432">
        <v>0.15</v>
      </c>
      <c r="E15" s="432">
        <v>0.4</v>
      </c>
      <c r="F15" s="432">
        <v>0.7</v>
      </c>
      <c r="G15" s="432">
        <v>1</v>
      </c>
    </row>
    <row r="16" spans="1:7" x14ac:dyDescent="0.35">
      <c r="A16" s="188" t="s">
        <v>5658</v>
      </c>
      <c r="C16" s="380">
        <f>$E$12*C15</f>
        <v>0</v>
      </c>
      <c r="D16" s="380">
        <f>$E$12*D15</f>
        <v>938880190.94668782</v>
      </c>
      <c r="E16" s="380">
        <f>$E$12*E15</f>
        <v>2503680509.1911674</v>
      </c>
      <c r="F16" s="380">
        <f>$E$12*F15</f>
        <v>4381440891.0845432</v>
      </c>
      <c r="G16" s="380">
        <f>$E$12*G15</f>
        <v>6259201272.9779186</v>
      </c>
    </row>
    <row r="18" spans="1:5" x14ac:dyDescent="0.35">
      <c r="A18" s="349" t="s">
        <v>5659</v>
      </c>
    </row>
    <row r="19" spans="1:5" x14ac:dyDescent="0.35">
      <c r="A19" t="s">
        <v>5660</v>
      </c>
      <c r="E19" s="645">
        <v>-5513168651</v>
      </c>
    </row>
    <row r="20" spans="1:5" x14ac:dyDescent="0.35">
      <c r="A20" t="s">
        <v>5661</v>
      </c>
      <c r="E20" s="380">
        <f>E6+E7+E8</f>
        <v>3836000000</v>
      </c>
    </row>
    <row r="21" spans="1:5" x14ac:dyDescent="0.35">
      <c r="A21" t="s">
        <v>5662</v>
      </c>
      <c r="E21" s="380">
        <f>E9</f>
        <v>1300000000</v>
      </c>
    </row>
    <row r="22" spans="1:5" x14ac:dyDescent="0.35">
      <c r="A22" t="s">
        <v>5663</v>
      </c>
      <c r="E22" s="380">
        <f>E10</f>
        <v>598165451.45167768</v>
      </c>
    </row>
    <row r="23" spans="1:5" x14ac:dyDescent="0.35">
      <c r="A23" t="s">
        <v>5664</v>
      </c>
      <c r="E23" s="380">
        <f>E11</f>
        <v>525035821.52624106</v>
      </c>
    </row>
    <row r="24" spans="1:5" x14ac:dyDescent="0.35">
      <c r="A24" s="342" t="s">
        <v>5665</v>
      </c>
      <c r="E24" s="400">
        <f>E19+E12</f>
        <v>746032621.97791862</v>
      </c>
    </row>
    <row r="25" spans="1:5" x14ac:dyDescent="0.35">
      <c r="A25" t="s">
        <v>5666</v>
      </c>
      <c r="E25" s="398">
        <f>-MAX(0,E24)*TaxRate</f>
        <v>-164127176.83514211</v>
      </c>
    </row>
    <row r="26" spans="1:5" x14ac:dyDescent="0.35">
      <c r="A26" s="437" t="s">
        <v>5667</v>
      </c>
      <c r="E26" s="400">
        <f>E24+E25</f>
        <v>581905445.14277649</v>
      </c>
    </row>
    <row r="28" spans="1:5" x14ac:dyDescent="0.35">
      <c r="A28" s="188" t="s">
        <v>5668</v>
      </c>
      <c r="E28" s="646">
        <f>'P&amp;L'!G21</f>
        <v>892142214.04609513</v>
      </c>
    </row>
    <row r="29" spans="1:5" x14ac:dyDescent="0.35">
      <c r="A29" s="188" t="s">
        <v>5669</v>
      </c>
      <c r="E29" s="188" t="str">
        <f>IF('P&amp;L'!G21&gt;=0,"OK — break-even reached","ACTION PLAN — still negative")</f>
        <v>OK — break-even reached</v>
      </c>
    </row>
    <row r="31" spans="1:5" x14ac:dyDescent="0.35">
      <c r="A31" s="346" t="s">
        <v>5288</v>
      </c>
      <c r="B31" s="570" t="s">
        <v>5670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69174-D195-4403-84E5-16858D2E2531}">
  <sheetPr>
    <tabColor rgb="FF1F4E79"/>
  </sheetPr>
  <dimension ref="A1:D23"/>
  <sheetViews>
    <sheetView workbookViewId="0"/>
  </sheetViews>
  <sheetFormatPr defaultRowHeight="14.5" x14ac:dyDescent="0.35"/>
  <cols>
    <col min="1" max="1" width="43.6328125" customWidth="1"/>
    <col min="2" max="4" width="21.81640625" customWidth="1"/>
  </cols>
  <sheetData>
    <row r="1" spans="1:4" ht="19" x14ac:dyDescent="0.4">
      <c r="A1" s="643" t="s">
        <v>5687</v>
      </c>
    </row>
    <row r="2" spans="1:4" x14ac:dyDescent="0.35">
      <c r="A2" s="356" t="s">
        <v>5688</v>
      </c>
    </row>
    <row r="4" spans="1:4" x14ac:dyDescent="0.35">
      <c r="A4" s="556" t="s">
        <v>1468</v>
      </c>
      <c r="B4" s="568" t="s">
        <v>1374</v>
      </c>
      <c r="C4" s="568" t="s">
        <v>1366</v>
      </c>
      <c r="D4" s="568" t="s">
        <v>1375</v>
      </c>
    </row>
    <row r="5" spans="1:4" x14ac:dyDescent="0.35">
      <c r="A5" t="s">
        <v>5520</v>
      </c>
      <c r="B5" s="647">
        <f>Valuation!$C$33</f>
        <v>10</v>
      </c>
      <c r="C5" s="647">
        <f>Valuation!$C$33</f>
        <v>10</v>
      </c>
      <c r="D5" s="647">
        <f>Valuation!$C$33</f>
        <v>10</v>
      </c>
    </row>
    <row r="6" spans="1:4" x14ac:dyDescent="0.35">
      <c r="A6" t="s">
        <v>6</v>
      </c>
      <c r="B6" s="380">
        <f>Scenario_CF!G14</f>
        <v>9341419344.6847191</v>
      </c>
      <c r="C6" s="380">
        <f>Scenario_CF!G28</f>
        <v>18975745057.365532</v>
      </c>
      <c r="D6" s="380">
        <f>Scenario_CF!G42</f>
        <v>29710288494.252686</v>
      </c>
    </row>
    <row r="7" spans="1:4" x14ac:dyDescent="0.35">
      <c r="A7" t="s">
        <v>5689</v>
      </c>
      <c r="B7" s="380">
        <f>B5*B6</f>
        <v>93414193446.847198</v>
      </c>
      <c r="C7" s="380">
        <f>C5*C6</f>
        <v>189757450573.65533</v>
      </c>
      <c r="D7" s="380">
        <f>D5*D6</f>
        <v>297102884942.52686</v>
      </c>
    </row>
    <row r="8" spans="1:4" x14ac:dyDescent="0.35">
      <c r="A8" t="s">
        <v>5690</v>
      </c>
      <c r="B8" s="380">
        <f>Scenario_CF!C18</f>
        <v>-3071901495.0050688</v>
      </c>
      <c r="C8" s="380">
        <f>Scenario_CF!C32</f>
        <v>-3550331293.8141828</v>
      </c>
      <c r="D8" s="380">
        <f>Scenario_CF!C46</f>
        <v>-4042312786.2232962</v>
      </c>
    </row>
    <row r="9" spans="1:4" x14ac:dyDescent="0.35">
      <c r="A9" t="s">
        <v>5691</v>
      </c>
      <c r="B9" s="380">
        <f>Scenario_CF!D18</f>
        <v>-6907679936.1274233</v>
      </c>
      <c r="C9" s="380">
        <f>Scenario_CF!D32</f>
        <v>-7887267900.174571</v>
      </c>
      <c r="D9" s="380">
        <f>Scenario_CF!D46</f>
        <v>-8839268363.1407585</v>
      </c>
    </row>
    <row r="10" spans="1:4" x14ac:dyDescent="0.35">
      <c r="A10" t="s">
        <v>5692</v>
      </c>
      <c r="B10" s="380">
        <f>Scenario_CF!E18</f>
        <v>-18547531925.400478</v>
      </c>
      <c r="C10" s="380">
        <f>Scenario_CF!E32</f>
        <v>-20190002857.537685</v>
      </c>
      <c r="D10" s="380">
        <f>Scenario_CF!E46</f>
        <v>-21671087378.637711</v>
      </c>
    </row>
    <row r="11" spans="1:4" x14ac:dyDescent="0.35">
      <c r="A11" t="s">
        <v>5693</v>
      </c>
      <c r="B11" s="380">
        <f>Scenario_CF!F18</f>
        <v>-24198295071.206165</v>
      </c>
      <c r="C11" s="380">
        <f>Scenario_CF!F32</f>
        <v>-24332380812.753197</v>
      </c>
      <c r="D11" s="380">
        <f>Scenario_CF!F46</f>
        <v>-24212775621.329842</v>
      </c>
    </row>
    <row r="12" spans="1:4" x14ac:dyDescent="0.35">
      <c r="A12" t="s">
        <v>5694</v>
      </c>
      <c r="B12" s="380">
        <f>Scenario_CF!G18+B7</f>
        <v>70316005897.872559</v>
      </c>
      <c r="C12" s="380">
        <f>Scenario_CF!G32+C7</f>
        <v>169497244398.746</v>
      </c>
      <c r="D12" s="380">
        <f>Scenario_CF!G46+D7</f>
        <v>279539863273.62427</v>
      </c>
    </row>
    <row r="13" spans="1:4" x14ac:dyDescent="0.35">
      <c r="A13" t="s">
        <v>5695</v>
      </c>
      <c r="B13" s="380">
        <f>NPV(Valuation!$C$14,B8:B12)</f>
        <v>992562677.20745862</v>
      </c>
      <c r="C13" s="380">
        <f>NPV(Valuation!$C$14,C8:C12)</f>
        <v>47845413542.513176</v>
      </c>
      <c r="D13" s="380">
        <f>NPV(Valuation!$C$14,D8:D12)</f>
        <v>100341801602.4614</v>
      </c>
    </row>
    <row r="14" spans="1:4" x14ac:dyDescent="0.35">
      <c r="A14" t="s">
        <v>5366</v>
      </c>
      <c r="B14" s="380">
        <f>-('Balance Sheet'!G18+'Balance Sheet'!G19-'Balance Sheet'!G6)</f>
        <v>-9390189039.188961</v>
      </c>
      <c r="C14" s="380">
        <f>-('Balance Sheet'!G18+'Balance Sheet'!G19-'Balance Sheet'!G6)</f>
        <v>-9390189039.188961</v>
      </c>
      <c r="D14" s="380">
        <f>-('Balance Sheet'!G18+'Balance Sheet'!G19-'Balance Sheet'!G6)</f>
        <v>-9390189039.188961</v>
      </c>
    </row>
    <row r="15" spans="1:4" x14ac:dyDescent="0.35">
      <c r="A15" s="188" t="s">
        <v>5696</v>
      </c>
      <c r="B15" s="599">
        <f>B13+B14</f>
        <v>-8397626361.9815025</v>
      </c>
      <c r="C15" s="599">
        <f>C13+C14</f>
        <v>38455224503.324219</v>
      </c>
      <c r="D15" s="599">
        <f>D13+D14</f>
        <v>90951612563.27243</v>
      </c>
    </row>
    <row r="16" spans="1:4" x14ac:dyDescent="0.35">
      <c r="A16" t="s">
        <v>5697</v>
      </c>
      <c r="B16" s="191">
        <f>IFERROR(IRR(B8:B12),"n/a")</f>
        <v>0.16822081497157937</v>
      </c>
      <c r="C16" s="191">
        <f>IFERROR(IRR(C8:C12),"n/a")</f>
        <v>0.70595283084180238</v>
      </c>
      <c r="D16" s="191">
        <f>IFERROR(IRR(D8:D12),"n/a")</f>
        <v>1.0257681364645772</v>
      </c>
    </row>
    <row r="17" spans="1:4" x14ac:dyDescent="0.35">
      <c r="A17" t="s">
        <v>5698</v>
      </c>
      <c r="B17" s="380">
        <f>Funding_Plan!$H$13</f>
        <v>11000000000</v>
      </c>
      <c r="C17" s="380">
        <f>Funding_Plan!$H$13</f>
        <v>11000000000</v>
      </c>
      <c r="D17" s="380">
        <f>Funding_Plan!$H$13</f>
        <v>11000000000</v>
      </c>
    </row>
    <row r="18" spans="1:4" x14ac:dyDescent="0.35">
      <c r="A18" t="s">
        <v>5699</v>
      </c>
      <c r="B18" s="191">
        <f>Funding_Plan!$C$35</f>
        <v>8.3969465648854963E-2</v>
      </c>
      <c r="C18" s="191">
        <f>Funding_Plan!$C$35</f>
        <v>8.3969465648854963E-2</v>
      </c>
      <c r="D18" s="191">
        <f>Funding_Plan!$C$35</f>
        <v>8.3969465648854963E-2</v>
      </c>
    </row>
    <row r="19" spans="1:4" x14ac:dyDescent="0.35">
      <c r="A19" t="s">
        <v>5700</v>
      </c>
      <c r="B19" s="380">
        <f>MAX(0,B15)*B18</f>
        <v>0</v>
      </c>
      <c r="C19" s="380">
        <f>MAX(0,C15)*C18</f>
        <v>3229064652.9508886</v>
      </c>
      <c r="D19" s="380">
        <f>MAX(0,D15)*D18</f>
        <v>7637158306.8396702</v>
      </c>
    </row>
    <row r="20" spans="1:4" x14ac:dyDescent="0.35">
      <c r="A20" s="188" t="s">
        <v>3010</v>
      </c>
      <c r="B20" s="648">
        <f>B19/B17</f>
        <v>0</v>
      </c>
      <c r="C20" s="648">
        <f>C19/C17</f>
        <v>0.29355133208644441</v>
      </c>
      <c r="D20" s="648">
        <f>D19/D17</f>
        <v>0.69428711880360638</v>
      </c>
    </row>
    <row r="21" spans="1:4" x14ac:dyDescent="0.35">
      <c r="A21" t="s">
        <v>5701</v>
      </c>
      <c r="B21" s="191">
        <f>IFERROR(B20^(1/4)-1,"n/a")</f>
        <v>-1</v>
      </c>
      <c r="C21" s="191">
        <f>IFERROR(C20^(1/4)-1,"n/a")</f>
        <v>-0.2639267860003105</v>
      </c>
      <c r="D21" s="191">
        <f>IFERROR(D20^(1/4)-1,"n/a")</f>
        <v>-8.7180777699148337E-2</v>
      </c>
    </row>
    <row r="23" spans="1:4" x14ac:dyDescent="0.35">
      <c r="A23" s="346" t="s">
        <v>5702</v>
      </c>
      <c r="B23" s="570" t="s">
        <v>5703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BF374-54AA-4D9A-92E8-F5BD4384B154}">
  <sheetPr>
    <tabColor rgb="FF1B5E20"/>
  </sheetPr>
  <dimension ref="A1:F10"/>
  <sheetViews>
    <sheetView workbookViewId="0">
      <pane ySplit="4" topLeftCell="A5" activePane="bottomLeft" state="frozen"/>
      <selection pane="bottomLeft"/>
    </sheetView>
  </sheetViews>
  <sheetFormatPr defaultRowHeight="14.5" x14ac:dyDescent="0.35"/>
  <cols>
    <col min="1" max="1" width="10" customWidth="1"/>
    <col min="2" max="2" width="41.81640625" customWidth="1"/>
    <col min="3" max="3" width="11.81640625" customWidth="1"/>
    <col min="4" max="4" width="54.54296875" customWidth="1"/>
    <col min="5" max="5" width="27.26953125" customWidth="1"/>
    <col min="6" max="6" width="54.54296875" customWidth="1"/>
  </cols>
  <sheetData>
    <row r="1" spans="1:6" ht="19" x14ac:dyDescent="0.4">
      <c r="A1" s="643" t="s">
        <v>5712</v>
      </c>
    </row>
    <row r="2" spans="1:6" x14ac:dyDescent="0.35">
      <c r="A2" s="356" t="s">
        <v>5713</v>
      </c>
    </row>
    <row r="4" spans="1:6" x14ac:dyDescent="0.35">
      <c r="A4" s="556" t="s">
        <v>3292</v>
      </c>
      <c r="B4" s="556" t="s">
        <v>3995</v>
      </c>
      <c r="C4" s="556" t="s">
        <v>4015</v>
      </c>
      <c r="D4" s="556" t="s">
        <v>3021</v>
      </c>
      <c r="E4" s="556" t="s">
        <v>5714</v>
      </c>
      <c r="F4" s="556" t="s">
        <v>5715</v>
      </c>
    </row>
    <row r="5" spans="1:6" ht="29" x14ac:dyDescent="0.35">
      <c r="A5" s="558" t="s">
        <v>5716</v>
      </c>
      <c r="B5" s="558" t="s">
        <v>5717</v>
      </c>
      <c r="C5" s="558" t="s">
        <v>4016</v>
      </c>
      <c r="D5" s="558" t="s">
        <v>5718</v>
      </c>
      <c r="E5" s="558" t="s">
        <v>5719</v>
      </c>
      <c r="F5" s="558" t="str">
        <f>IF('P&amp;L'!G21&gt;=0,"OK — Y5 NI ≥ 0 (P&amp;L G21, +Rp0.89B)","ACTION PLAN — Y5 NI &lt; 0")</f>
        <v>OK — Y5 NI ≥ 0 (P&amp;L G21, +Rp0.89B)</v>
      </c>
    </row>
    <row r="6" spans="1:6" ht="29" x14ac:dyDescent="0.35">
      <c r="A6" s="558" t="s">
        <v>5720</v>
      </c>
      <c r="B6" s="558" t="s">
        <v>5721</v>
      </c>
      <c r="C6" s="558" t="s">
        <v>4044</v>
      </c>
      <c r="D6" s="558" t="s">
        <v>5722</v>
      </c>
      <c r="E6" s="558" t="s">
        <v>5723</v>
      </c>
      <c r="F6" s="558" t="str">
        <f>IF(Cohort_Economics!C86&gt;=250000000,"TARGET CASE OK (≥Rp250M/hub); live base hub still negative — NEEDS ACTION until proven","NEEDS ACTION")</f>
        <v>TARGET CASE OK (≥Rp250M/hub); live base hub still negative — NEEDS ACTION until proven</v>
      </c>
    </row>
    <row r="7" spans="1:6" ht="29" x14ac:dyDescent="0.35">
      <c r="A7" s="558" t="s">
        <v>5724</v>
      </c>
      <c r="B7" s="558" t="s">
        <v>5725</v>
      </c>
      <c r="C7" s="558" t="s">
        <v>4017</v>
      </c>
      <c r="D7" s="558" t="s">
        <v>5726</v>
      </c>
      <c r="E7" s="558" t="s">
        <v>5727</v>
      </c>
      <c r="F7" s="558" t="str">
        <f>IF(ISNUMBER(Scenario_CashFlows!C16),"OK — live scenario IRR, no placeholder","NEEDS REVIEW")</f>
        <v>OK — live scenario IRR, no placeholder</v>
      </c>
    </row>
    <row r="8" spans="1:6" ht="29" x14ac:dyDescent="0.35">
      <c r="A8" s="558" t="s">
        <v>5728</v>
      </c>
      <c r="B8" s="558" t="s">
        <v>5729</v>
      </c>
      <c r="C8" s="558" t="s">
        <v>4017</v>
      </c>
      <c r="D8" s="558" t="s">
        <v>5730</v>
      </c>
      <c r="E8" s="558" t="s">
        <v>5731</v>
      </c>
      <c r="F8" s="558" t="str">
        <f>IF(Monthly_Runway!F69="OK","OK","WARNING — calibration/timing, see Monthly_Runway")</f>
        <v>WARNING — calibration/timing, see Monthly_Runway</v>
      </c>
    </row>
    <row r="9" spans="1:6" ht="29" x14ac:dyDescent="0.35">
      <c r="A9" s="558" t="s">
        <v>5553</v>
      </c>
      <c r="B9" s="558" t="s">
        <v>5732</v>
      </c>
      <c r="C9" s="558" t="s">
        <v>4016</v>
      </c>
      <c r="D9" s="558" t="s">
        <v>5733</v>
      </c>
      <c r="E9" s="558" t="s">
        <v>5734</v>
      </c>
      <c r="F9" s="558" t="s">
        <v>5735</v>
      </c>
    </row>
    <row r="10" spans="1:6" ht="29" x14ac:dyDescent="0.35">
      <c r="A10" s="558" t="s">
        <v>5258</v>
      </c>
      <c r="B10" s="558" t="s">
        <v>5736</v>
      </c>
      <c r="C10" s="558" t="s">
        <v>4016</v>
      </c>
      <c r="D10" s="558" t="s">
        <v>5737</v>
      </c>
      <c r="E10" s="558" t="s">
        <v>5738</v>
      </c>
      <c r="F10" s="558" t="str">
        <f>IF(Scenario_CashFlows!C20&gt;=1,"OK","NEEDS REVIEW — Base MOIC &lt; 1x at Rp120B pre-money; lower entry valuation")</f>
        <v>NEEDS REVIEW — Base MOIC &lt; 1x at Rp120B pre-money; lower entry valuation</v>
      </c>
    </row>
  </sheetData>
  <conditionalFormatting sqref="C5:C10">
    <cfRule type="cellIs" dxfId="8" priority="1" operator="equal">
      <formula>"P0"</formula>
    </cfRule>
  </conditionalFormatting>
  <conditionalFormatting sqref="C5:C10">
    <cfRule type="cellIs" dxfId="7" priority="2" operator="equal">
      <formula>"P1"</formula>
    </cfRule>
  </conditionalFormatting>
  <conditionalFormatting sqref="C5:C10">
    <cfRule type="cellIs" dxfId="6" priority="3" operator="equal">
      <formula>"P2"</formula>
    </cfRule>
  </conditionalFormatting>
  <conditionalFormatting sqref="F5:F10">
    <cfRule type="containsText" dxfId="5" priority="4" operator="containsText" text="OK —">
      <formula>NOT(ISERROR(SEARCH("OK —",F5)))</formula>
    </cfRule>
  </conditionalFormatting>
  <conditionalFormatting sqref="F5:F10">
    <cfRule type="containsText" dxfId="4" priority="5" operator="containsText" text="NEEDS">
      <formula>NOT(ISERROR(SEARCH("NEEDS",F5)))</formula>
    </cfRule>
  </conditionalFormatting>
  <conditionalFormatting sqref="F5:F10">
    <cfRule type="containsText" dxfId="3" priority="6" operator="containsText" text="ACTION PLAN">
      <formula>NOT(ISERROR(SEARCH("ACTION PLAN",F5)))</formula>
    </cfRule>
  </conditionalFormatting>
  <conditionalFormatting sqref="F5:F10">
    <cfRule type="containsText" dxfId="2" priority="7" operator="containsText" text="WARNING">
      <formula>NOT(ISERROR(SEARCH("WARNING",F5)))</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4C4F7-66A3-48E9-AEA5-DB649B03E994}">
  <sheetPr>
    <tabColor rgb="FF1F4E79"/>
  </sheetPr>
  <dimension ref="A1:G19"/>
  <sheetViews>
    <sheetView workbookViewId="0"/>
  </sheetViews>
  <sheetFormatPr defaultRowHeight="14.5" x14ac:dyDescent="0.35"/>
  <cols>
    <col min="1" max="1" width="29.08984375" customWidth="1"/>
    <col min="2" max="2" width="16.36328125" customWidth="1"/>
    <col min="3" max="7" width="19.08984375" customWidth="1"/>
  </cols>
  <sheetData>
    <row r="1" spans="1:7" ht="19" x14ac:dyDescent="0.4">
      <c r="A1" s="643" t="s">
        <v>5704</v>
      </c>
    </row>
    <row r="2" spans="1:7" x14ac:dyDescent="0.35">
      <c r="A2" s="356" t="s">
        <v>5705</v>
      </c>
    </row>
    <row r="4" spans="1:7" x14ac:dyDescent="0.35">
      <c r="A4" s="349" t="s">
        <v>5706</v>
      </c>
    </row>
    <row r="6" spans="1:7" x14ac:dyDescent="0.35">
      <c r="B6" s="568" t="s">
        <v>5707</v>
      </c>
      <c r="C6" s="649">
        <v>6</v>
      </c>
      <c r="D6" s="649">
        <v>8</v>
      </c>
      <c r="E6" s="649">
        <v>10</v>
      </c>
      <c r="F6" s="649">
        <v>12</v>
      </c>
      <c r="G6" s="649">
        <v>14</v>
      </c>
    </row>
    <row r="7" spans="1:7" x14ac:dyDescent="0.35">
      <c r="B7" s="588">
        <v>0.11</v>
      </c>
      <c r="C7" s="380">
        <f>NPV($B7,Scenario_CashFlows!$C$8:$C$11)+(Scenario_CF!$G$32+C$6*Scenario_CashFlows!$C$6)/(1+$B7)^5+Scenario_CashFlows!$C$14</f>
        <v>5762222110.9297295</v>
      </c>
      <c r="D7" s="380">
        <f>NPV($B7,Scenario_CashFlows!$C$8:$C$11)+(Scenario_CF!$G$32+D$6*Scenario_CashFlows!$C$6)/(1+$B7)^5+Scenario_CashFlows!$C$14</f>
        <v>28284584321.318119</v>
      </c>
      <c r="E7" s="380">
        <f>NPV($B7,Scenario_CashFlows!$C$8:$C$11)+(Scenario_CF!$G$32+E$6*Scenario_CashFlows!$C$6)/(1+$B7)^5+Scenario_CashFlows!$C$14</f>
        <v>50806946531.706543</v>
      </c>
      <c r="F7" s="380">
        <f>NPV($B7,Scenario_CashFlows!$C$8:$C$11)+(Scenario_CF!$G$32+F$6*Scenario_CashFlows!$C$6)/(1+$B7)^5+Scenario_CashFlows!$C$14</f>
        <v>73329308742.09494</v>
      </c>
      <c r="G7" s="380">
        <f>NPV($B7,Scenario_CashFlows!$C$8:$C$11)+(Scenario_CF!$G$32+G$6*Scenario_CashFlows!$C$6)/(1+$B7)^5+Scenario_CashFlows!$C$14</f>
        <v>95851670952.483337</v>
      </c>
    </row>
    <row r="8" spans="1:7" x14ac:dyDescent="0.35">
      <c r="B8" s="588">
        <v>0.13</v>
      </c>
      <c r="C8" s="380">
        <f>NPV($B8,Scenario_CashFlows!$C$8:$C$11)+(Scenario_CF!$G$32+C$6*Scenario_CashFlows!$C$6)/(1+$B8)^5+Scenario_CashFlows!$C$14</f>
        <v>3174064395.3326912</v>
      </c>
      <c r="D8" s="380">
        <f>NPV($B8,Scenario_CashFlows!$C$8:$C$11)+(Scenario_CF!$G$32+D$6*Scenario_CashFlows!$C$6)/(1+$B8)^5+Scenario_CashFlows!$C$14</f>
        <v>23772612741.087826</v>
      </c>
      <c r="E8" s="380">
        <f>NPV($B8,Scenario_CashFlows!$C$8:$C$11)+(Scenario_CF!$G$32+E$6*Scenario_CashFlows!$C$6)/(1+$B8)^5+Scenario_CashFlows!$C$14</f>
        <v>44371161086.842972</v>
      </c>
      <c r="F8" s="380">
        <f>NPV($B8,Scenario_CashFlows!$C$8:$C$11)+(Scenario_CF!$G$32+F$6*Scenario_CashFlows!$C$6)/(1+$B8)^5+Scenario_CashFlows!$C$14</f>
        <v>64969709432.598083</v>
      </c>
      <c r="G8" s="380">
        <f>NPV($B8,Scenario_CashFlows!$C$8:$C$11)+(Scenario_CF!$G$32+G$6*Scenario_CashFlows!$C$6)/(1+$B8)^5+Scenario_CashFlows!$C$14</f>
        <v>85568257778.353241</v>
      </c>
    </row>
    <row r="9" spans="1:7" x14ac:dyDescent="0.35">
      <c r="B9" s="588">
        <v>0.1507</v>
      </c>
      <c r="C9" s="380">
        <f>NPV($B9,Scenario_CashFlows!$C$8:$C$11)+(Scenario_CF!$G$32+C$6*Scenario_CashFlows!$C$6)/(1+$B9)^5+Scenario_CashFlows!$C$14</f>
        <v>829979097.54270554</v>
      </c>
      <c r="D9" s="380">
        <f>NPV($B9,Scenario_CashFlows!$C$8:$C$11)+(Scenario_CF!$G$32+D$6*Scenario_CashFlows!$C$6)/(1+$B9)^5+Scenario_CashFlows!$C$14</f>
        <v>19641255601.21899</v>
      </c>
      <c r="E9" s="652">
        <f>NPV($B9,Scenario_CashFlows!$C$8:$C$11)+(Scenario_CF!$G$32+E$6*Scenario_CashFlows!$C$6)/(1+$B9)^5+Scenario_CashFlows!$C$14</f>
        <v>38452532104.895294</v>
      </c>
      <c r="F9" s="380">
        <f>NPV($B9,Scenario_CashFlows!$C$8:$C$11)+(Scenario_CF!$G$32+F$6*Scenario_CashFlows!$C$6)/(1+$B9)^5+Scenario_CashFlows!$C$14</f>
        <v>57263808608.571564</v>
      </c>
      <c r="G9" s="380">
        <f>NPV($B9,Scenario_CashFlows!$C$8:$C$11)+(Scenario_CF!$G$32+G$6*Scenario_CashFlows!$C$6)/(1+$B9)^5+Scenario_CashFlows!$C$14</f>
        <v>76075085112.247833</v>
      </c>
    </row>
    <row r="10" spans="1:7" x14ac:dyDescent="0.35">
      <c r="B10" s="588">
        <v>0.17</v>
      </c>
      <c r="C10" s="380">
        <f>NPV($B10,Scenario_CashFlows!$C$8:$C$11)+(Scenario_CF!$G$32+C$6*Scenario_CashFlows!$C$6)/(1+$B10)^5+Scenario_CashFlows!$C$14</f>
        <v>-1088048142.7346611</v>
      </c>
      <c r="D10" s="380">
        <f>NPV($B10,Scenario_CashFlows!$C$8:$C$11)+(Scenario_CF!$G$32+D$6*Scenario_CashFlows!$C$6)/(1+$B10)^5+Scenario_CashFlows!$C$14</f>
        <v>16222049746.364902</v>
      </c>
      <c r="E10" s="380">
        <f>NPV($B10,Scenario_CashFlows!$C$8:$C$11)+(Scenario_CF!$G$32+E$6*Scenario_CashFlows!$C$6)/(1+$B10)^5+Scenario_CashFlows!$C$14</f>
        <v>33532147635.464481</v>
      </c>
      <c r="F10" s="380">
        <f>NPV($B10,Scenario_CashFlows!$C$8:$C$11)+(Scenario_CF!$G$32+F$6*Scenario_CashFlows!$C$6)/(1+$B10)^5+Scenario_CashFlows!$C$14</f>
        <v>50842245524.564056</v>
      </c>
      <c r="G10" s="380">
        <f>NPV($B10,Scenario_CashFlows!$C$8:$C$11)+(Scenario_CF!$G$32+G$6*Scenario_CashFlows!$C$6)/(1+$B10)^5+Scenario_CashFlows!$C$14</f>
        <v>68152343413.66362</v>
      </c>
    </row>
    <row r="11" spans="1:7" x14ac:dyDescent="0.35">
      <c r="B11" s="588">
        <v>0.19</v>
      </c>
      <c r="C11" s="380">
        <f>NPV($B11,Scenario_CashFlows!$C$8:$C$11)+(Scenario_CF!$G$32+C$6*Scenario_CashFlows!$C$6)/(1+$B11)^5+Scenario_CashFlows!$C$14</f>
        <v>-2837619242.4565582</v>
      </c>
      <c r="D11" s="380">
        <f>NPV($B11,Scenario_CashFlows!$C$8:$C$11)+(Scenario_CF!$G$32+D$6*Scenario_CashFlows!$C$6)/(1+$B11)^5+Scenario_CashFlows!$C$14</f>
        <v>13065928816.0158</v>
      </c>
      <c r="E11" s="380">
        <f>NPV($B11,Scenario_CashFlows!$C$8:$C$11)+(Scenario_CF!$G$32+E$6*Scenario_CashFlows!$C$6)/(1+$B11)^5+Scenario_CashFlows!$C$14</f>
        <v>28969476874.488178</v>
      </c>
      <c r="F11" s="380">
        <f>NPV($B11,Scenario_CashFlows!$C$8:$C$11)+(Scenario_CF!$G$32+F$6*Scenario_CashFlows!$C$6)/(1+$B11)^5+Scenario_CashFlows!$C$14</f>
        <v>44873024932.960526</v>
      </c>
      <c r="G11" s="380">
        <f>NPV($B11,Scenario_CashFlows!$C$8:$C$11)+(Scenario_CF!$G$32+G$6*Scenario_CashFlows!$C$6)/(1+$B11)^5+Scenario_CashFlows!$C$14</f>
        <v>60776572991.432892</v>
      </c>
    </row>
    <row r="14" spans="1:7" x14ac:dyDescent="0.35">
      <c r="A14" s="349" t="s">
        <v>5708</v>
      </c>
    </row>
    <row r="15" spans="1:7" x14ac:dyDescent="0.35">
      <c r="B15" s="556" t="s">
        <v>5709</v>
      </c>
      <c r="C15" s="650">
        <v>4000000000</v>
      </c>
      <c r="D15" s="650">
        <v>5000000000</v>
      </c>
      <c r="E15" s="650">
        <v>5513168651</v>
      </c>
      <c r="F15" s="651">
        <v>6659000000</v>
      </c>
      <c r="G15" s="650">
        <v>8000000000</v>
      </c>
    </row>
    <row r="16" spans="1:7" x14ac:dyDescent="0.35">
      <c r="B16" s="188" t="s">
        <v>5710</v>
      </c>
      <c r="C16" s="380">
        <f>(-5513168651+C15)-MAX(0,-5513168651+C15)*TaxRate</f>
        <v>-1513168651</v>
      </c>
      <c r="D16" s="380">
        <f>(-5513168651+D15)-MAX(0,-5513168651+D15)*TaxRate</f>
        <v>-513168651</v>
      </c>
      <c r="E16" s="380">
        <f>(-5513168651+E15)-MAX(0,-5513168651+E15)*TaxRate</f>
        <v>0</v>
      </c>
      <c r="F16" s="599">
        <f>(-5513168651+F15)-MAX(0,-5513168651+F15)*TaxRate</f>
        <v>893748452.22000003</v>
      </c>
      <c r="G16" s="380">
        <f>(-5513168651+G15)-MAX(0,-5513168651+G15)*TaxRate</f>
        <v>1939728452.22</v>
      </c>
    </row>
    <row r="17" spans="1:7" x14ac:dyDescent="0.35">
      <c r="B17" t="s">
        <v>1487</v>
      </c>
      <c r="C17" t="str">
        <f>IF(C16&gt;=0,"OK","below break-even")</f>
        <v>below break-even</v>
      </c>
      <c r="D17" t="str">
        <f>IF(D16&gt;=0,"OK","below break-even")</f>
        <v>below break-even</v>
      </c>
      <c r="E17" t="str">
        <f>IF(E16&gt;=0,"OK","below break-even")</f>
        <v>OK</v>
      </c>
      <c r="F17" t="str">
        <f>IF(F16&gt;=0,"OK","below break-even")</f>
        <v>OK</v>
      </c>
      <c r="G17" t="str">
        <f>IF(G16&gt;=0,"OK","below break-even")</f>
        <v>OK</v>
      </c>
    </row>
    <row r="19" spans="1:7" ht="290" x14ac:dyDescent="0.35">
      <c r="A19" s="566" t="s">
        <v>5711</v>
      </c>
    </row>
  </sheetData>
  <conditionalFormatting sqref="C7:G11">
    <cfRule type="colorScale" priority="1">
      <colorScale>
        <cfvo type="min"/>
        <cfvo type="num" val="0"/>
        <cfvo type="max"/>
        <color rgb="FFF8696B"/>
        <color rgb="FFFFEB84"/>
        <color rgb="FF63BE7B"/>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AAC3F-C9EC-4DC0-A263-52BE93C68B79}">
  <sheetPr>
    <tabColor rgb="FF0F5132"/>
  </sheetPr>
  <dimension ref="A1:C20"/>
  <sheetViews>
    <sheetView workbookViewId="0">
      <pane ySplit="2" topLeftCell="A3" activePane="bottomLeft" state="frozen"/>
      <selection pane="bottomLeft" activeCell="A20" sqref="A20"/>
    </sheetView>
  </sheetViews>
  <sheetFormatPr defaultRowHeight="14.5" x14ac:dyDescent="0.35"/>
  <cols>
    <col min="1" max="1" width="111.81640625" bestFit="1" customWidth="1"/>
    <col min="2" max="2" width="150.6328125" bestFit="1" customWidth="1"/>
    <col min="3" max="3" width="18.1796875" customWidth="1"/>
  </cols>
  <sheetData>
    <row r="1" spans="1:3" ht="18.5" x14ac:dyDescent="0.45">
      <c r="A1" s="484" t="s">
        <v>5203</v>
      </c>
      <c r="B1" s="484"/>
      <c r="C1" s="464" t="s">
        <v>5204</v>
      </c>
    </row>
    <row r="2" spans="1:3" x14ac:dyDescent="0.35">
      <c r="A2" s="465" t="s">
        <v>5205</v>
      </c>
      <c r="B2" s="465" t="s">
        <v>5206</v>
      </c>
      <c r="C2" s="465" t="s">
        <v>5207</v>
      </c>
    </row>
    <row r="3" spans="1:3" x14ac:dyDescent="0.35">
      <c r="A3" s="349" t="s">
        <v>5208</v>
      </c>
      <c r="B3" t="s">
        <v>5209</v>
      </c>
      <c r="C3" s="466" t="s">
        <v>5210</v>
      </c>
    </row>
    <row r="4" spans="1:3" x14ac:dyDescent="0.35">
      <c r="A4" s="467" t="s">
        <v>5211</v>
      </c>
      <c r="B4" t="s">
        <v>5212</v>
      </c>
      <c r="C4" s="468" t="s">
        <v>5213</v>
      </c>
    </row>
    <row r="5" spans="1:3" x14ac:dyDescent="0.35">
      <c r="A5" s="353" t="s">
        <v>5214</v>
      </c>
      <c r="B5" t="s">
        <v>5215</v>
      </c>
      <c r="C5" s="469" t="s">
        <v>5216</v>
      </c>
    </row>
    <row r="6" spans="1:3" x14ac:dyDescent="0.35">
      <c r="A6" s="379" t="s">
        <v>5217</v>
      </c>
      <c r="B6" t="s">
        <v>5218</v>
      </c>
      <c r="C6" s="470" t="s">
        <v>5219</v>
      </c>
    </row>
    <row r="7" spans="1:3" x14ac:dyDescent="0.35">
      <c r="A7" s="345" t="s">
        <v>5220</v>
      </c>
      <c r="B7" t="s">
        <v>5221</v>
      </c>
      <c r="C7" s="471" t="s">
        <v>5222</v>
      </c>
    </row>
    <row r="8" spans="1:3" x14ac:dyDescent="0.35">
      <c r="A8" s="353" t="s">
        <v>5223</v>
      </c>
      <c r="B8" t="s">
        <v>5224</v>
      </c>
      <c r="C8" s="472" t="s">
        <v>5225</v>
      </c>
    </row>
    <row r="9" spans="1:3" x14ac:dyDescent="0.35">
      <c r="A9" s="353" t="s">
        <v>5226</v>
      </c>
      <c r="B9" t="s">
        <v>5227</v>
      </c>
      <c r="C9" s="473" t="s">
        <v>5228</v>
      </c>
    </row>
    <row r="10" spans="1:3" x14ac:dyDescent="0.35">
      <c r="A10" s="349" t="s">
        <v>5229</v>
      </c>
      <c r="B10" t="s">
        <v>5230</v>
      </c>
      <c r="C10" s="474" t="s">
        <v>5231</v>
      </c>
    </row>
    <row r="11" spans="1:3" x14ac:dyDescent="0.35">
      <c r="A11" s="393" t="s">
        <v>5232</v>
      </c>
      <c r="B11" t="s">
        <v>5233</v>
      </c>
      <c r="C11" s="475" t="s">
        <v>5234</v>
      </c>
    </row>
    <row r="12" spans="1:3" x14ac:dyDescent="0.35">
      <c r="A12" s="476" t="s">
        <v>5235</v>
      </c>
      <c r="B12" t="s">
        <v>5236</v>
      </c>
      <c r="C12" s="477" t="s">
        <v>5237</v>
      </c>
    </row>
    <row r="13" spans="1:3" x14ac:dyDescent="0.35">
      <c r="A13" s="478" t="s">
        <v>5238</v>
      </c>
      <c r="B13" t="s">
        <v>5239</v>
      </c>
      <c r="C13" s="479" t="s">
        <v>5213</v>
      </c>
    </row>
    <row r="14" spans="1:3" x14ac:dyDescent="0.35">
      <c r="A14" s="480" t="s">
        <v>5240</v>
      </c>
      <c r="B14" t="s">
        <v>5241</v>
      </c>
      <c r="C14" s="481" t="s">
        <v>5242</v>
      </c>
    </row>
    <row r="15" spans="1:3" x14ac:dyDescent="0.35">
      <c r="A15" s="392" t="s">
        <v>5243</v>
      </c>
      <c r="B15" t="s">
        <v>5244</v>
      </c>
      <c r="C15" s="482" t="s">
        <v>5245</v>
      </c>
    </row>
    <row r="17" spans="1:1" x14ac:dyDescent="0.35">
      <c r="A17" s="349" t="s">
        <v>5246</v>
      </c>
    </row>
    <row r="18" spans="1:1" x14ac:dyDescent="0.35">
      <c r="A18" s="346" t="s">
        <v>5247</v>
      </c>
    </row>
    <row r="19" spans="1:1" x14ac:dyDescent="0.35">
      <c r="A19" s="346" t="s">
        <v>5248</v>
      </c>
    </row>
    <row r="20" spans="1:1" x14ac:dyDescent="0.35">
      <c r="A20" s="483" t="s">
        <v>5249</v>
      </c>
    </row>
  </sheetData>
  <mergeCells count="1">
    <mergeCell ref="A1:B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5132"/>
  </sheetPr>
  <dimension ref="B1:G45"/>
  <sheetViews>
    <sheetView zoomScaleNormal="100" workbookViewId="0">
      <pane xSplit="1" ySplit="4" topLeftCell="B5" activePane="bottomRight" state="frozen"/>
      <selection pane="topRight" activeCell="B1" sqref="B1"/>
      <selection pane="bottomLeft" activeCell="A5" sqref="A5"/>
      <selection pane="bottomRight" activeCell="F10" sqref="F10"/>
    </sheetView>
  </sheetViews>
  <sheetFormatPr defaultColWidth="8.54296875" defaultRowHeight="14.5" x14ac:dyDescent="0.35"/>
  <cols>
    <col min="1" max="1" width="3" customWidth="1"/>
    <col min="2" max="2" width="22" customWidth="1"/>
    <col min="3" max="7" width="18" customWidth="1"/>
    <col min="8" max="8" width="3" customWidth="1"/>
  </cols>
  <sheetData>
    <row r="1" spans="2:7" ht="36" customHeight="1" x14ac:dyDescent="0.35">
      <c r="B1" s="487" t="s">
        <v>0</v>
      </c>
      <c r="C1" s="487"/>
      <c r="D1" s="487"/>
      <c r="E1" s="487"/>
      <c r="F1" s="487"/>
      <c r="G1" s="487"/>
    </row>
    <row r="2" spans="2:7" ht="15" customHeight="1" x14ac:dyDescent="0.35">
      <c r="B2" s="488" t="s">
        <v>1</v>
      </c>
      <c r="C2" s="488"/>
      <c r="D2" s="488"/>
      <c r="E2" s="488"/>
      <c r="F2" s="488"/>
      <c r="G2" s="488"/>
    </row>
    <row r="4" spans="2:7" ht="15" customHeight="1" x14ac:dyDescent="0.35">
      <c r="B4" s="3" t="s">
        <v>2</v>
      </c>
      <c r="C4" s="4" t="str">
        <f>Scenario</f>
        <v>Base</v>
      </c>
      <c r="E4" s="5" t="s">
        <v>3</v>
      </c>
    </row>
    <row r="6" spans="2:7" ht="21.75" customHeight="1" x14ac:dyDescent="0.35">
      <c r="B6" s="485" t="s">
        <v>4</v>
      </c>
      <c r="C6" s="485"/>
      <c r="D6" s="485"/>
      <c r="E6" s="485"/>
      <c r="F6" s="485"/>
      <c r="G6" s="485"/>
    </row>
    <row r="8" spans="2:7" ht="15" customHeight="1" x14ac:dyDescent="0.35">
      <c r="B8" s="6" t="s">
        <v>5</v>
      </c>
      <c r="C8" s="6" t="s">
        <v>6</v>
      </c>
      <c r="D8" s="6" t="s">
        <v>7</v>
      </c>
      <c r="E8" s="6" t="s">
        <v>8</v>
      </c>
      <c r="F8" s="6" t="s">
        <v>9</v>
      </c>
      <c r="G8" s="6" t="s">
        <v>10</v>
      </c>
    </row>
    <row r="9" spans="2:7" ht="31.5" customHeight="1" x14ac:dyDescent="0.35">
      <c r="B9" s="7">
        <f>'P&amp;L'!G6</f>
        <v>63947557349.976234</v>
      </c>
      <c r="C9" s="7">
        <f>'P&amp;L'!G15</f>
        <v>18975745057.365532</v>
      </c>
      <c r="D9" s="8">
        <f>'P&amp;L'!G16</f>
        <v>0.2967391694652835</v>
      </c>
      <c r="E9" s="194">
        <f>'Investor Returns'!C32</f>
        <v>0.35801330967123146</v>
      </c>
      <c r="F9" s="9" t="s">
        <v>5741</v>
      </c>
      <c r="G9" s="10">
        <f>ESG!G10</f>
        <v>8962.5</v>
      </c>
    </row>
    <row r="12" spans="2:7" ht="15" customHeight="1" x14ac:dyDescent="0.35">
      <c r="B12" s="485" t="s">
        <v>11</v>
      </c>
      <c r="C12" s="485"/>
      <c r="D12" s="485"/>
      <c r="E12" s="485"/>
      <c r="F12" s="485"/>
      <c r="G12" s="485"/>
    </row>
    <row r="13" spans="2:7" ht="15" customHeight="1" x14ac:dyDescent="0.35">
      <c r="C13" s="11" t="s">
        <v>12</v>
      </c>
      <c r="D13" s="11" t="s">
        <v>13</v>
      </c>
      <c r="E13" s="11" t="s">
        <v>14</v>
      </c>
      <c r="F13" s="11" t="s">
        <v>15</v>
      </c>
      <c r="G13" s="11" t="s">
        <v>16</v>
      </c>
    </row>
    <row r="14" spans="2:7" ht="15" customHeight="1" x14ac:dyDescent="0.35">
      <c r="B14" s="1" t="s">
        <v>17</v>
      </c>
      <c r="C14" s="12">
        <f>'P&amp;L'!C6</f>
        <v>451723120</v>
      </c>
      <c r="D14" s="12">
        <f>'P&amp;L'!D6</f>
        <v>2980177280</v>
      </c>
      <c r="E14" s="12">
        <f>'P&amp;L'!E6</f>
        <v>14115223775.499996</v>
      </c>
      <c r="F14" s="12">
        <f>'P&amp;L'!F6</f>
        <v>34792138672.73999</v>
      </c>
      <c r="G14" s="12">
        <f>'P&amp;L'!G6</f>
        <v>63947557349.976234</v>
      </c>
    </row>
    <row r="15" spans="2:7" ht="15" customHeight="1" x14ac:dyDescent="0.35">
      <c r="B15" t="s">
        <v>18</v>
      </c>
      <c r="C15" s="12">
        <f>'P&amp;L'!C8</f>
        <v>-176769958</v>
      </c>
      <c r="D15" s="12">
        <f>'P&amp;L'!D8</f>
        <v>268788776</v>
      </c>
      <c r="E15" s="12">
        <f>'P&amp;L'!E8</f>
        <v>4843922821.1124954</v>
      </c>
      <c r="F15" s="12">
        <f>'P&amp;L'!F8</f>
        <v>14608821909.92149</v>
      </c>
      <c r="G15" s="12">
        <f>'P&amp;L'!G8</f>
        <v>28945169248.22683</v>
      </c>
    </row>
    <row r="16" spans="2:7" ht="15" customHeight="1" x14ac:dyDescent="0.35">
      <c r="B16" s="1" t="s">
        <v>19</v>
      </c>
      <c r="C16" s="12">
        <f>'P&amp;L'!C15</f>
        <v>-673665390</v>
      </c>
      <c r="D16" s="12">
        <f>'P&amp;L'!D15</f>
        <v>-669549842.38080001</v>
      </c>
      <c r="E16" s="12">
        <f>'P&amp;L'!E15</f>
        <v>1014039154.1060812</v>
      </c>
      <c r="F16" s="12">
        <f>'P&amp;L'!F15</f>
        <v>7438510050.8565044</v>
      </c>
      <c r="G16" s="12">
        <f>'P&amp;L'!G15</f>
        <v>18975745057.365532</v>
      </c>
    </row>
    <row r="17" spans="2:7" ht="15" customHeight="1" x14ac:dyDescent="0.35">
      <c r="B17" t="s">
        <v>20</v>
      </c>
      <c r="C17" s="13">
        <f>'P&amp;L'!C16</f>
        <v>-1.4913236896088029</v>
      </c>
      <c r="D17" s="13">
        <f>'P&amp;L'!D16</f>
        <v>-0.22466778968961201</v>
      </c>
      <c r="E17" s="13">
        <f>'P&amp;L'!E16</f>
        <v>7.1840104714894007E-2</v>
      </c>
      <c r="F17" s="13">
        <f>'P&amp;L'!F16</f>
        <v>0.21379858596288753</v>
      </c>
      <c r="G17" s="13">
        <f>'P&amp;L'!G16</f>
        <v>0.2967391694652835</v>
      </c>
    </row>
    <row r="18" spans="2:7" ht="15" customHeight="1" x14ac:dyDescent="0.35">
      <c r="B18" t="s">
        <v>21</v>
      </c>
      <c r="C18" s="12">
        <f>'P&amp;L'!C21</f>
        <v>-1217897449.0373402</v>
      </c>
      <c r="D18" s="12">
        <f>'P&amp;L'!D21</f>
        <v>-2447801820.9863787</v>
      </c>
      <c r="E18" s="12">
        <f>'P&amp;L'!E21</f>
        <v>-4410505920.3836727</v>
      </c>
      <c r="F18" s="12">
        <f>'P&amp;L'!F21</f>
        <v>-3466545093.964489</v>
      </c>
      <c r="G18" s="12">
        <f>'P&amp;L'!G21</f>
        <v>892142214.04609513</v>
      </c>
    </row>
    <row r="20" spans="2:7" ht="15" customHeight="1" x14ac:dyDescent="0.35">
      <c r="B20" s="485" t="s">
        <v>22</v>
      </c>
      <c r="C20" s="485"/>
      <c r="D20" s="485"/>
      <c r="E20" s="485"/>
      <c r="F20" s="485"/>
      <c r="G20" s="485"/>
    </row>
    <row r="21" spans="2:7" ht="15" customHeight="1" x14ac:dyDescent="0.35">
      <c r="C21" s="11" t="s">
        <v>12</v>
      </c>
      <c r="D21" s="11" t="s">
        <v>13</v>
      </c>
      <c r="E21" s="11" t="s">
        <v>14</v>
      </c>
      <c r="F21" s="11" t="s">
        <v>15</v>
      </c>
      <c r="G21" s="11" t="s">
        <v>16</v>
      </c>
    </row>
    <row r="22" spans="2:7" ht="15" customHeight="1" x14ac:dyDescent="0.35">
      <c r="B22" t="s">
        <v>23</v>
      </c>
      <c r="C22" s="14">
        <f>'Operational KPI'!C6</f>
        <v>2</v>
      </c>
      <c r="D22" s="14">
        <f>'Operational KPI'!D6</f>
        <v>8</v>
      </c>
      <c r="E22" s="14">
        <f>'Operational KPI'!E6</f>
        <v>25</v>
      </c>
      <c r="F22" s="14">
        <f>'Operational KPI'!F6</f>
        <v>50</v>
      </c>
      <c r="G22" s="14">
        <f>'Operational KPI'!G6</f>
        <v>80</v>
      </c>
    </row>
    <row r="23" spans="2:7" ht="15" customHeight="1" x14ac:dyDescent="0.35">
      <c r="B23" t="s">
        <v>24</v>
      </c>
      <c r="C23" s="14">
        <f>'Operational KPI'!C7</f>
        <v>1</v>
      </c>
      <c r="D23" s="14">
        <f>'Operational KPI'!D7</f>
        <v>4</v>
      </c>
      <c r="E23" s="14">
        <f>'Operational KPI'!E7</f>
        <v>18</v>
      </c>
      <c r="F23" s="14">
        <f>'Operational KPI'!F7</f>
        <v>38</v>
      </c>
      <c r="G23" s="14">
        <f>'Operational KPI'!G7</f>
        <v>60</v>
      </c>
    </row>
    <row r="24" spans="2:7" ht="15" customHeight="1" x14ac:dyDescent="0.35">
      <c r="B24" t="s">
        <v>25</v>
      </c>
      <c r="C24" s="14">
        <f>'Operational KPI'!C8</f>
        <v>50</v>
      </c>
      <c r="D24" s="14">
        <f>'Operational KPI'!D8</f>
        <v>280</v>
      </c>
      <c r="E24" s="14">
        <f>'Operational KPI'!E8</f>
        <v>1125</v>
      </c>
      <c r="F24" s="14">
        <f>'Operational KPI'!F8</f>
        <v>2500</v>
      </c>
      <c r="G24" s="14">
        <f>'Operational KPI'!G8</f>
        <v>4400</v>
      </c>
    </row>
    <row r="25" spans="2:7" ht="15" customHeight="1" x14ac:dyDescent="0.35">
      <c r="B25" t="s">
        <v>26</v>
      </c>
      <c r="C25" s="14">
        <f>'Operational KPI'!C9</f>
        <v>160</v>
      </c>
      <c r="D25" s="14">
        <f>'Operational KPI'!D9</f>
        <v>640</v>
      </c>
      <c r="E25" s="14">
        <f>'Operational KPI'!E9</f>
        <v>2970</v>
      </c>
      <c r="F25" s="14">
        <f>'Operational KPI'!F9</f>
        <v>6460</v>
      </c>
      <c r="G25" s="14">
        <f>'Operational KPI'!G9</f>
        <v>10500</v>
      </c>
    </row>
    <row r="26" spans="2:7" ht="15" customHeight="1" x14ac:dyDescent="0.35">
      <c r="B26" t="s">
        <v>27</v>
      </c>
      <c r="C26" s="14">
        <f>ESG!C10</f>
        <v>96.474999999999994</v>
      </c>
      <c r="D26" s="14">
        <f>ESG!D10</f>
        <v>526.9</v>
      </c>
      <c r="E26" s="14">
        <f>ESG!E10</f>
        <v>2199.8250000000003</v>
      </c>
      <c r="F26" s="14">
        <f>ESG!F10</f>
        <v>5049.8500000000004</v>
      </c>
      <c r="G26" s="14">
        <f>ESG!G10</f>
        <v>8962.5</v>
      </c>
    </row>
    <row r="27" spans="2:7" ht="15" customHeight="1" x14ac:dyDescent="0.35">
      <c r="B27" t="s">
        <v>28</v>
      </c>
      <c r="C27" s="14">
        <f>ESG!C11</f>
        <v>788400</v>
      </c>
      <c r="D27" s="14">
        <f>ESG!D11</f>
        <v>3153600</v>
      </c>
      <c r="E27" s="14">
        <f>ESG!E11</f>
        <v>14634675.000000002</v>
      </c>
      <c r="F27" s="14">
        <f>ESG!F11</f>
        <v>31831650.000000004</v>
      </c>
      <c r="G27" s="14">
        <f>ESG!G11</f>
        <v>51738750</v>
      </c>
    </row>
    <row r="30" spans="2:7" ht="15" customHeight="1" x14ac:dyDescent="0.35">
      <c r="B30" s="485" t="s">
        <v>29</v>
      </c>
      <c r="C30" s="485"/>
      <c r="D30" s="485"/>
      <c r="E30" s="485"/>
      <c r="F30" s="485"/>
      <c r="G30" s="485"/>
    </row>
    <row r="31" spans="2:7" ht="15" customHeight="1" x14ac:dyDescent="0.35">
      <c r="B31" s="15" t="s">
        <v>30</v>
      </c>
      <c r="C31" s="15" t="s">
        <v>31</v>
      </c>
      <c r="D31" s="15" t="s">
        <v>32</v>
      </c>
      <c r="E31" s="15" t="s">
        <v>33</v>
      </c>
      <c r="F31" s="15" t="s">
        <v>34</v>
      </c>
      <c r="G31" s="15" t="s">
        <v>35</v>
      </c>
    </row>
    <row r="32" spans="2:7" ht="15" customHeight="1" x14ac:dyDescent="0.35">
      <c r="B32" s="1" t="s">
        <v>36</v>
      </c>
      <c r="C32" t="s">
        <v>37</v>
      </c>
      <c r="D32" s="16">
        <v>500000000</v>
      </c>
      <c r="E32" s="16">
        <v>5000000000</v>
      </c>
      <c r="F32" s="16">
        <v>5500000000</v>
      </c>
      <c r="G32" s="17">
        <v>9.0999999999999998E-2</v>
      </c>
    </row>
    <row r="33" spans="2:7" ht="15" customHeight="1" x14ac:dyDescent="0.35">
      <c r="B33" s="1" t="s">
        <v>38</v>
      </c>
      <c r="C33" t="s">
        <v>39</v>
      </c>
      <c r="D33" s="16">
        <v>2000000000</v>
      </c>
      <c r="E33" s="16">
        <v>8000000000</v>
      </c>
      <c r="F33" s="16">
        <v>10000000000</v>
      </c>
      <c r="G33" s="17">
        <v>0.2</v>
      </c>
    </row>
    <row r="34" spans="2:7" ht="15" customHeight="1" x14ac:dyDescent="0.35">
      <c r="B34" s="1" t="s">
        <v>40</v>
      </c>
      <c r="C34" t="s">
        <v>41</v>
      </c>
      <c r="D34" s="16">
        <v>20000000000</v>
      </c>
      <c r="E34" s="16">
        <v>70000000000</v>
      </c>
      <c r="F34" s="16">
        <v>90000000000</v>
      </c>
      <c r="G34" s="17">
        <v>0.222</v>
      </c>
    </row>
    <row r="35" spans="2:7" ht="15" customHeight="1" x14ac:dyDescent="0.35">
      <c r="B35" s="1" t="s">
        <v>42</v>
      </c>
      <c r="C35" t="s">
        <v>43</v>
      </c>
      <c r="D35" s="16">
        <v>100000000000</v>
      </c>
      <c r="E35" s="16">
        <v>400000000000</v>
      </c>
      <c r="F35" s="16">
        <v>500000000000</v>
      </c>
      <c r="G35" s="17">
        <v>0.2</v>
      </c>
    </row>
    <row r="38" spans="2:7" ht="27.75" customHeight="1" x14ac:dyDescent="0.35">
      <c r="B38" s="486" t="s">
        <v>44</v>
      </c>
      <c r="C38" s="486"/>
      <c r="D38" s="486"/>
      <c r="E38" s="486"/>
      <c r="F38" s="486"/>
      <c r="G38" s="486"/>
    </row>
    <row r="40" spans="2:7" ht="15.5" x14ac:dyDescent="0.35">
      <c r="B40" s="381"/>
      <c r="C40" s="381"/>
      <c r="D40" s="381"/>
      <c r="E40" s="381"/>
    </row>
    <row r="45" spans="2:7" x14ac:dyDescent="0.35">
      <c r="B45" s="354"/>
    </row>
  </sheetData>
  <mergeCells count="7">
    <mergeCell ref="B30:G30"/>
    <mergeCell ref="B38:G38"/>
    <mergeCell ref="B1:G1"/>
    <mergeCell ref="B2:G2"/>
    <mergeCell ref="B6:G6"/>
    <mergeCell ref="B12:G12"/>
    <mergeCell ref="B20:G20"/>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10078-BA48-4F6A-BCA5-A1EAF9229BFD}">
  <sheetPr>
    <tabColor rgb="FF117A65"/>
  </sheetPr>
  <dimension ref="A1:B34"/>
  <sheetViews>
    <sheetView topLeftCell="A11" workbookViewId="0">
      <selection activeCell="E13" sqref="E13"/>
    </sheetView>
  </sheetViews>
  <sheetFormatPr defaultColWidth="8.7265625" defaultRowHeight="14.5" x14ac:dyDescent="0.35"/>
  <cols>
    <col min="1" max="2" width="47.26953125" style="97" customWidth="1"/>
    <col min="3" max="16384" width="8.7265625" style="97"/>
  </cols>
  <sheetData>
    <row r="1" spans="1:2" ht="28.5" x14ac:dyDescent="0.65">
      <c r="A1" s="107" t="s">
        <v>45</v>
      </c>
    </row>
    <row r="2" spans="1:2" ht="15.5" x14ac:dyDescent="0.35">
      <c r="A2" s="106" t="s">
        <v>46</v>
      </c>
    </row>
    <row r="4" spans="1:2" ht="18.5" x14ac:dyDescent="0.45">
      <c r="A4" s="105" t="s">
        <v>47</v>
      </c>
    </row>
    <row r="5" spans="1:2" x14ac:dyDescent="0.35">
      <c r="A5" s="97" t="s">
        <v>48</v>
      </c>
      <c r="B5" s="97" t="s">
        <v>49</v>
      </c>
    </row>
    <row r="6" spans="1:2" x14ac:dyDescent="0.35">
      <c r="A6" s="97" t="s">
        <v>50</v>
      </c>
      <c r="B6" s="97" t="s">
        <v>51</v>
      </c>
    </row>
    <row r="7" spans="1:2" x14ac:dyDescent="0.35">
      <c r="A7" s="97" t="s">
        <v>52</v>
      </c>
      <c r="B7" s="97" t="s">
        <v>53</v>
      </c>
    </row>
    <row r="8" spans="1:2" x14ac:dyDescent="0.35">
      <c r="A8" s="97" t="s">
        <v>54</v>
      </c>
      <c r="B8" s="97" t="s">
        <v>55</v>
      </c>
    </row>
    <row r="9" spans="1:2" x14ac:dyDescent="0.35">
      <c r="A9" s="97" t="s">
        <v>56</v>
      </c>
      <c r="B9" s="97" t="s">
        <v>57</v>
      </c>
    </row>
    <row r="10" spans="1:2" x14ac:dyDescent="0.35">
      <c r="A10" s="97" t="s">
        <v>58</v>
      </c>
      <c r="B10" s="97" t="s">
        <v>59</v>
      </c>
    </row>
    <row r="11" spans="1:2" x14ac:dyDescent="0.35">
      <c r="A11" s="97" t="s">
        <v>58</v>
      </c>
      <c r="B11" s="97" t="s">
        <v>60</v>
      </c>
    </row>
    <row r="12" spans="1:2" x14ac:dyDescent="0.35">
      <c r="A12" s="97" t="s">
        <v>61</v>
      </c>
      <c r="B12" s="97" t="s">
        <v>62</v>
      </c>
    </row>
    <row r="13" spans="1:2" ht="18.5" x14ac:dyDescent="0.45">
      <c r="A13" s="105" t="s">
        <v>63</v>
      </c>
    </row>
    <row r="14" spans="1:2" ht="18.5" x14ac:dyDescent="0.45">
      <c r="A14" s="105" t="s">
        <v>64</v>
      </c>
    </row>
    <row r="15" spans="1:2" x14ac:dyDescent="0.35">
      <c r="A15" s="104" t="s">
        <v>65</v>
      </c>
    </row>
    <row r="16" spans="1:2" x14ac:dyDescent="0.35">
      <c r="A16" s="97" t="s">
        <v>66</v>
      </c>
      <c r="B16" s="97" t="s">
        <v>67</v>
      </c>
    </row>
    <row r="17" spans="1:2" x14ac:dyDescent="0.35">
      <c r="A17" s="97" t="s">
        <v>68</v>
      </c>
      <c r="B17" s="97" t="s">
        <v>69</v>
      </c>
    </row>
    <row r="18" spans="1:2" x14ac:dyDescent="0.35">
      <c r="A18" s="103" t="s">
        <v>70</v>
      </c>
    </row>
    <row r="19" spans="1:2" x14ac:dyDescent="0.35">
      <c r="A19" s="97" t="s">
        <v>71</v>
      </c>
      <c r="B19" s="97" t="s">
        <v>72</v>
      </c>
    </row>
    <row r="20" spans="1:2" x14ac:dyDescent="0.35">
      <c r="A20" s="97" t="s">
        <v>73</v>
      </c>
      <c r="B20" s="97" t="s">
        <v>74</v>
      </c>
    </row>
    <row r="21" spans="1:2" x14ac:dyDescent="0.35">
      <c r="A21" s="97" t="s">
        <v>75</v>
      </c>
      <c r="B21" s="97" t="s">
        <v>76</v>
      </c>
    </row>
    <row r="22" spans="1:2" x14ac:dyDescent="0.35">
      <c r="A22" s="97" t="s">
        <v>77</v>
      </c>
      <c r="B22" s="97" t="s">
        <v>78</v>
      </c>
    </row>
    <row r="23" spans="1:2" x14ac:dyDescent="0.35">
      <c r="A23" s="97" t="s">
        <v>79</v>
      </c>
      <c r="B23" s="97" t="s">
        <v>80</v>
      </c>
    </row>
    <row r="24" spans="1:2" x14ac:dyDescent="0.35">
      <c r="A24" s="97" t="s">
        <v>81</v>
      </c>
      <c r="B24" s="97" t="s">
        <v>82</v>
      </c>
    </row>
    <row r="25" spans="1:2" x14ac:dyDescent="0.35">
      <c r="A25" s="97" t="s">
        <v>83</v>
      </c>
      <c r="B25" s="97" t="s">
        <v>84</v>
      </c>
    </row>
    <row r="26" spans="1:2" x14ac:dyDescent="0.35">
      <c r="A26" s="97" t="s">
        <v>85</v>
      </c>
      <c r="B26" s="97" t="s">
        <v>86</v>
      </c>
    </row>
    <row r="27" spans="1:2" x14ac:dyDescent="0.35">
      <c r="A27" s="97" t="s">
        <v>87</v>
      </c>
      <c r="B27" s="97" t="s">
        <v>88</v>
      </c>
    </row>
    <row r="28" spans="1:2" x14ac:dyDescent="0.35">
      <c r="A28" s="102" t="s">
        <v>89</v>
      </c>
    </row>
    <row r="29" spans="1:2" x14ac:dyDescent="0.35">
      <c r="A29" s="97" t="s">
        <v>90</v>
      </c>
      <c r="B29" s="101" t="s">
        <v>91</v>
      </c>
    </row>
    <row r="30" spans="1:2" x14ac:dyDescent="0.35">
      <c r="A30" s="97" t="s">
        <v>92</v>
      </c>
      <c r="B30" s="100" t="s">
        <v>93</v>
      </c>
    </row>
    <row r="31" spans="1:2" x14ac:dyDescent="0.35">
      <c r="A31" s="97" t="s">
        <v>94</v>
      </c>
      <c r="B31" s="99" t="s">
        <v>95</v>
      </c>
    </row>
    <row r="32" spans="1:2" x14ac:dyDescent="0.35">
      <c r="A32" s="97" t="s">
        <v>96</v>
      </c>
      <c r="B32" s="98" t="s">
        <v>97</v>
      </c>
    </row>
    <row r="33" spans="1:2" x14ac:dyDescent="0.35">
      <c r="A33" s="97" t="s">
        <v>98</v>
      </c>
      <c r="B33" s="97" t="s">
        <v>99</v>
      </c>
    </row>
    <row r="34" spans="1:2" x14ac:dyDescent="0.35">
      <c r="A34" s="97" t="s">
        <v>100</v>
      </c>
      <c r="B34" s="97" t="s">
        <v>101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214AF-C1E9-4287-80F8-2334B6EF17B1}">
  <sheetPr>
    <tabColor rgb="FF117A65"/>
  </sheetPr>
  <dimension ref="A1:B11"/>
  <sheetViews>
    <sheetView workbookViewId="0">
      <pane ySplit="3" topLeftCell="A4" activePane="bottomLeft" state="frozen"/>
      <selection activeCell="E13" sqref="E13"/>
      <selection pane="bottomLeft" activeCell="F6" sqref="F6"/>
    </sheetView>
  </sheetViews>
  <sheetFormatPr defaultColWidth="8.7265625" defaultRowHeight="14.5" x14ac:dyDescent="0.35"/>
  <cols>
    <col min="1" max="1" width="50.81640625" style="97" customWidth="1"/>
    <col min="2" max="2" width="81" style="97" customWidth="1"/>
    <col min="3" max="16384" width="8.7265625" style="97"/>
  </cols>
  <sheetData>
    <row r="1" spans="1:2" ht="21" x14ac:dyDescent="0.5">
      <c r="A1" s="118" t="s">
        <v>102</v>
      </c>
    </row>
    <row r="2" spans="1:2" x14ac:dyDescent="0.35">
      <c r="A2" s="117" t="s">
        <v>103</v>
      </c>
    </row>
    <row r="3" spans="1:2" x14ac:dyDescent="0.35">
      <c r="A3" s="116" t="s">
        <v>104</v>
      </c>
      <c r="B3" s="115" t="s">
        <v>105</v>
      </c>
    </row>
    <row r="4" spans="1:2" ht="101.5" x14ac:dyDescent="0.35">
      <c r="A4" s="114" t="s">
        <v>106</v>
      </c>
      <c r="B4" s="110" t="s">
        <v>107</v>
      </c>
    </row>
    <row r="5" spans="1:2" ht="58" x14ac:dyDescent="0.35">
      <c r="A5" s="113" t="s">
        <v>108</v>
      </c>
      <c r="B5" s="110" t="s">
        <v>109</v>
      </c>
    </row>
    <row r="6" spans="1:2" ht="58" x14ac:dyDescent="0.35">
      <c r="A6" s="112" t="s">
        <v>110</v>
      </c>
      <c r="B6" s="110" t="s">
        <v>111</v>
      </c>
    </row>
    <row r="7" spans="1:2" ht="101.5" x14ac:dyDescent="0.35">
      <c r="A7" s="111" t="s">
        <v>112</v>
      </c>
      <c r="B7" s="110" t="s">
        <v>113</v>
      </c>
    </row>
    <row r="8" spans="1:2" ht="58" x14ac:dyDescent="0.35">
      <c r="A8" s="111" t="s">
        <v>114</v>
      </c>
      <c r="B8" s="110" t="s">
        <v>115</v>
      </c>
    </row>
    <row r="9" spans="1:2" ht="58" x14ac:dyDescent="0.35">
      <c r="A9" s="111" t="s">
        <v>116</v>
      </c>
      <c r="B9" s="110" t="s">
        <v>117</v>
      </c>
    </row>
    <row r="10" spans="1:2" ht="58" x14ac:dyDescent="0.35">
      <c r="A10" s="111" t="s">
        <v>118</v>
      </c>
      <c r="B10" s="110" t="s">
        <v>119</v>
      </c>
    </row>
    <row r="11" spans="1:2" ht="72.5" x14ac:dyDescent="0.35">
      <c r="A11" s="109" t="s">
        <v>120</v>
      </c>
      <c r="B11" s="108" t="s">
        <v>121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53204-A342-40F4-A155-AED9A6C9944C}">
  <sheetPr>
    <tabColor rgb="FF117A65"/>
  </sheetPr>
  <dimension ref="B2:K34"/>
  <sheetViews>
    <sheetView topLeftCell="B20" zoomScale="86" workbookViewId="0">
      <selection activeCell="B27" sqref="B27:F34"/>
    </sheetView>
  </sheetViews>
  <sheetFormatPr defaultColWidth="8.7265625" defaultRowHeight="14.5" x14ac:dyDescent="0.35"/>
  <cols>
    <col min="1" max="1" width="8.7265625" style="97"/>
    <col min="2" max="7" width="23.54296875" style="97" customWidth="1"/>
    <col min="8" max="16384" width="8.7265625" style="97"/>
  </cols>
  <sheetData>
    <row r="2" spans="2:11" ht="18.5" x14ac:dyDescent="0.45">
      <c r="B2" s="491" t="s">
        <v>122</v>
      </c>
      <c r="C2" s="491"/>
      <c r="D2" s="491"/>
      <c r="E2" s="491"/>
      <c r="F2" s="491"/>
      <c r="G2" s="491"/>
      <c r="H2" s="491"/>
      <c r="I2" s="491"/>
      <c r="J2" s="491"/>
      <c r="K2" s="491"/>
    </row>
    <row r="3" spans="2:11" x14ac:dyDescent="0.35">
      <c r="B3" s="120" t="s">
        <v>123</v>
      </c>
    </row>
    <row r="7" spans="2:11" ht="17" x14ac:dyDescent="0.4">
      <c r="B7" s="492" t="s">
        <v>124</v>
      </c>
      <c r="C7" s="492"/>
      <c r="D7" s="492"/>
      <c r="E7" s="492"/>
      <c r="F7" s="492"/>
      <c r="G7" s="492"/>
      <c r="H7" s="492"/>
      <c r="I7" s="492"/>
      <c r="J7" s="492"/>
      <c r="K7" s="492"/>
    </row>
    <row r="8" spans="2:11" x14ac:dyDescent="0.35">
      <c r="B8" s="489" t="s">
        <v>125</v>
      </c>
      <c r="C8" s="489"/>
      <c r="D8" s="489"/>
      <c r="E8" s="489"/>
      <c r="F8" s="489"/>
      <c r="G8" s="489" t="s">
        <v>126</v>
      </c>
      <c r="H8" s="489"/>
      <c r="I8" s="489"/>
      <c r="J8" s="489"/>
      <c r="K8" s="489"/>
    </row>
    <row r="9" spans="2:11" ht="80.150000000000006" customHeight="1" x14ac:dyDescent="0.35">
      <c r="B9" s="490" t="s">
        <v>127</v>
      </c>
      <c r="C9" s="490"/>
      <c r="D9" s="490"/>
      <c r="E9" s="490"/>
      <c r="F9" s="490"/>
      <c r="G9" s="490" t="s">
        <v>128</v>
      </c>
      <c r="H9" s="490"/>
      <c r="I9" s="490"/>
      <c r="J9" s="490"/>
      <c r="K9" s="490"/>
    </row>
    <row r="14" spans="2:11" ht="17" x14ac:dyDescent="0.4">
      <c r="B14" s="492" t="s">
        <v>129</v>
      </c>
      <c r="C14" s="492"/>
      <c r="D14" s="492"/>
      <c r="E14" s="492"/>
      <c r="F14" s="492"/>
      <c r="G14" s="492"/>
      <c r="H14" s="492"/>
      <c r="I14" s="492"/>
      <c r="J14" s="492"/>
      <c r="K14" s="492"/>
    </row>
    <row r="15" spans="2:11" x14ac:dyDescent="0.35">
      <c r="B15" s="489" t="s">
        <v>130</v>
      </c>
      <c r="C15" s="489"/>
      <c r="D15" s="489"/>
      <c r="E15" s="489"/>
      <c r="F15" s="489"/>
      <c r="G15" s="489" t="s">
        <v>126</v>
      </c>
      <c r="H15" s="489"/>
      <c r="I15" s="489"/>
      <c r="J15" s="489"/>
      <c r="K15" s="489"/>
    </row>
    <row r="16" spans="2:11" ht="55" customHeight="1" x14ac:dyDescent="0.35">
      <c r="B16" s="490" t="s">
        <v>131</v>
      </c>
      <c r="C16" s="490"/>
      <c r="D16" s="490"/>
      <c r="E16" s="490"/>
      <c r="F16" s="490"/>
      <c r="G16" s="490" t="s">
        <v>132</v>
      </c>
      <c r="H16" s="490"/>
      <c r="I16" s="490"/>
      <c r="J16" s="490"/>
      <c r="K16" s="490"/>
    </row>
    <row r="17" spans="2:11" ht="55" customHeight="1" x14ac:dyDescent="0.35">
      <c r="B17" s="490" t="s">
        <v>133</v>
      </c>
      <c r="C17" s="490"/>
      <c r="D17" s="490"/>
      <c r="E17" s="490"/>
      <c r="F17" s="490"/>
      <c r="G17" s="490" t="s">
        <v>134</v>
      </c>
      <c r="H17" s="490"/>
      <c r="I17" s="490"/>
      <c r="J17" s="490"/>
      <c r="K17" s="490"/>
    </row>
    <row r="18" spans="2:11" ht="55" customHeight="1" x14ac:dyDescent="0.35">
      <c r="B18" s="490" t="s">
        <v>135</v>
      </c>
      <c r="C18" s="490"/>
      <c r="D18" s="490"/>
      <c r="E18" s="490"/>
      <c r="F18" s="490"/>
      <c r="G18" s="490" t="s">
        <v>136</v>
      </c>
      <c r="H18" s="490"/>
      <c r="I18" s="490"/>
      <c r="J18" s="490"/>
      <c r="K18" s="490"/>
    </row>
    <row r="19" spans="2:11" ht="55" customHeight="1" x14ac:dyDescent="0.35">
      <c r="B19" s="490" t="s">
        <v>137</v>
      </c>
      <c r="C19" s="490"/>
      <c r="D19" s="490"/>
      <c r="E19" s="490"/>
      <c r="F19" s="490"/>
      <c r="G19" s="490" t="s">
        <v>138</v>
      </c>
      <c r="H19" s="490"/>
      <c r="I19" s="490"/>
      <c r="J19" s="490"/>
      <c r="K19" s="490"/>
    </row>
    <row r="20" spans="2:11" ht="55" customHeight="1" x14ac:dyDescent="0.35">
      <c r="B20" s="490" t="s">
        <v>139</v>
      </c>
      <c r="C20" s="490"/>
      <c r="D20" s="490"/>
      <c r="E20" s="490"/>
      <c r="F20" s="490"/>
      <c r="G20" s="490" t="s">
        <v>140</v>
      </c>
      <c r="H20" s="490"/>
      <c r="I20" s="490"/>
      <c r="J20" s="490"/>
      <c r="K20" s="490"/>
    </row>
    <row r="24" spans="2:11" ht="17" x14ac:dyDescent="0.4">
      <c r="B24" s="119" t="s">
        <v>141</v>
      </c>
    </row>
    <row r="25" spans="2:11" ht="17" x14ac:dyDescent="0.4">
      <c r="B25" s="492" t="s">
        <v>141</v>
      </c>
      <c r="C25" s="492"/>
      <c r="D25" s="492"/>
      <c r="E25" s="492"/>
      <c r="F25" s="492"/>
      <c r="G25" s="492"/>
      <c r="H25" s="492"/>
      <c r="I25" s="492"/>
      <c r="J25" s="492"/>
      <c r="K25" s="492"/>
    </row>
    <row r="26" spans="2:11" x14ac:dyDescent="0.35">
      <c r="B26" s="489" t="s">
        <v>142</v>
      </c>
      <c r="C26" s="489"/>
      <c r="D26" s="489"/>
      <c r="E26" s="489"/>
      <c r="F26" s="489"/>
      <c r="G26" s="489" t="s">
        <v>126</v>
      </c>
      <c r="H26" s="489"/>
      <c r="I26" s="489"/>
      <c r="J26" s="489"/>
      <c r="K26" s="489"/>
    </row>
    <row r="27" spans="2:11" ht="45" customHeight="1" x14ac:dyDescent="0.35">
      <c r="B27" s="490" t="s">
        <v>143</v>
      </c>
      <c r="C27" s="490"/>
      <c r="D27" s="490"/>
      <c r="E27" s="490"/>
      <c r="F27" s="490"/>
      <c r="G27" s="490" t="s">
        <v>144</v>
      </c>
      <c r="H27" s="490"/>
      <c r="I27" s="490"/>
      <c r="J27" s="490"/>
      <c r="K27" s="490"/>
    </row>
    <row r="28" spans="2:11" ht="45" customHeight="1" x14ac:dyDescent="0.35">
      <c r="B28" s="490" t="s">
        <v>145</v>
      </c>
      <c r="C28" s="490"/>
      <c r="D28" s="490"/>
      <c r="E28" s="490"/>
      <c r="F28" s="490"/>
      <c r="G28" s="490" t="s">
        <v>146</v>
      </c>
      <c r="H28" s="490"/>
      <c r="I28" s="490"/>
      <c r="J28" s="490"/>
      <c r="K28" s="490"/>
    </row>
    <row r="29" spans="2:11" ht="45" customHeight="1" x14ac:dyDescent="0.35">
      <c r="B29" s="490" t="s">
        <v>147</v>
      </c>
      <c r="C29" s="490"/>
      <c r="D29" s="490"/>
      <c r="E29" s="490"/>
      <c r="F29" s="490"/>
      <c r="G29" s="490" t="s">
        <v>148</v>
      </c>
      <c r="H29" s="490"/>
      <c r="I29" s="490"/>
      <c r="J29" s="490"/>
      <c r="K29" s="490"/>
    </row>
    <row r="30" spans="2:11" ht="45" customHeight="1" x14ac:dyDescent="0.35">
      <c r="B30" s="490" t="s">
        <v>149</v>
      </c>
      <c r="C30" s="490"/>
      <c r="D30" s="490"/>
      <c r="E30" s="490"/>
      <c r="F30" s="490"/>
      <c r="G30" s="490" t="s">
        <v>150</v>
      </c>
      <c r="H30" s="490"/>
      <c r="I30" s="490"/>
      <c r="J30" s="490"/>
      <c r="K30" s="490"/>
    </row>
    <row r="31" spans="2:11" ht="45" customHeight="1" x14ac:dyDescent="0.35">
      <c r="B31" s="490" t="s">
        <v>151</v>
      </c>
      <c r="C31" s="490"/>
      <c r="D31" s="490"/>
      <c r="E31" s="490"/>
      <c r="F31" s="490"/>
      <c r="G31" s="490" t="s">
        <v>152</v>
      </c>
      <c r="H31" s="490"/>
      <c r="I31" s="490"/>
      <c r="J31" s="490"/>
      <c r="K31" s="490"/>
    </row>
    <row r="32" spans="2:11" ht="45" customHeight="1" x14ac:dyDescent="0.35">
      <c r="B32" s="490" t="s">
        <v>153</v>
      </c>
      <c r="C32" s="490"/>
      <c r="D32" s="490"/>
      <c r="E32" s="490"/>
      <c r="F32" s="490"/>
      <c r="G32" s="490" t="s">
        <v>154</v>
      </c>
      <c r="H32" s="490"/>
      <c r="I32" s="490"/>
      <c r="J32" s="490"/>
      <c r="K32" s="490"/>
    </row>
    <row r="33" spans="2:11" ht="45" customHeight="1" x14ac:dyDescent="0.35">
      <c r="B33" s="490" t="s">
        <v>155</v>
      </c>
      <c r="C33" s="490"/>
      <c r="D33" s="490"/>
      <c r="E33" s="490"/>
      <c r="F33" s="490"/>
      <c r="G33" s="490" t="s">
        <v>156</v>
      </c>
      <c r="H33" s="490"/>
      <c r="I33" s="490"/>
      <c r="J33" s="490"/>
      <c r="K33" s="490"/>
    </row>
    <row r="34" spans="2:11" ht="45" customHeight="1" x14ac:dyDescent="0.35">
      <c r="B34" s="490" t="s">
        <v>157</v>
      </c>
      <c r="C34" s="490"/>
      <c r="D34" s="490"/>
      <c r="E34" s="490"/>
      <c r="F34" s="490"/>
      <c r="G34" s="490" t="s">
        <v>158</v>
      </c>
      <c r="H34" s="490"/>
      <c r="I34" s="490"/>
      <c r="J34" s="490"/>
      <c r="K34" s="490"/>
    </row>
  </sheetData>
  <mergeCells count="38">
    <mergeCell ref="B31:F31"/>
    <mergeCell ref="G31:K31"/>
    <mergeCell ref="B32:F32"/>
    <mergeCell ref="G32:K32"/>
    <mergeCell ref="B27:F27"/>
    <mergeCell ref="G27:K27"/>
    <mergeCell ref="B33:F33"/>
    <mergeCell ref="G33:K33"/>
    <mergeCell ref="B34:F34"/>
    <mergeCell ref="G34:K34"/>
    <mergeCell ref="B2:K2"/>
    <mergeCell ref="B7:K7"/>
    <mergeCell ref="B14:K14"/>
    <mergeCell ref="B25:K25"/>
    <mergeCell ref="B30:F30"/>
    <mergeCell ref="G30:K30"/>
    <mergeCell ref="B28:F28"/>
    <mergeCell ref="G28:K28"/>
    <mergeCell ref="B29:F29"/>
    <mergeCell ref="G29:K29"/>
    <mergeCell ref="B19:F19"/>
    <mergeCell ref="G19:K19"/>
    <mergeCell ref="B20:F20"/>
    <mergeCell ref="G20:K20"/>
    <mergeCell ref="B26:F26"/>
    <mergeCell ref="G26:K26"/>
    <mergeCell ref="B16:F16"/>
    <mergeCell ref="G16:K16"/>
    <mergeCell ref="B17:F17"/>
    <mergeCell ref="G17:K17"/>
    <mergeCell ref="B18:F18"/>
    <mergeCell ref="G18:K18"/>
    <mergeCell ref="B8:F8"/>
    <mergeCell ref="G8:K8"/>
    <mergeCell ref="B9:F9"/>
    <mergeCell ref="G9:K9"/>
    <mergeCell ref="B15:F15"/>
    <mergeCell ref="G15:K1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49DDB-E953-4821-BB76-E00D8F038C38}">
  <sheetPr>
    <tabColor rgb="FF117A65"/>
  </sheetPr>
  <dimension ref="A1:D14"/>
  <sheetViews>
    <sheetView workbookViewId="0">
      <selection activeCell="E13" sqref="E13"/>
    </sheetView>
  </sheetViews>
  <sheetFormatPr defaultColWidth="8.7265625" defaultRowHeight="14.5" x14ac:dyDescent="0.35"/>
  <cols>
    <col min="1" max="1" width="66.81640625" style="97" bestFit="1" customWidth="1"/>
    <col min="2" max="2" width="8.7265625" style="97"/>
    <col min="3" max="3" width="11.81640625" style="97" bestFit="1" customWidth="1"/>
    <col min="4" max="4" width="15.54296875" style="97" bestFit="1" customWidth="1"/>
    <col min="5" max="16384" width="8.7265625" style="97"/>
  </cols>
  <sheetData>
    <row r="1" spans="1:4" ht="17" x14ac:dyDescent="0.4">
      <c r="A1" s="121" t="s">
        <v>159</v>
      </c>
    </row>
    <row r="3" spans="1:4" x14ac:dyDescent="0.35">
      <c r="A3" s="103" t="s">
        <v>160</v>
      </c>
      <c r="B3" s="103" t="s">
        <v>161</v>
      </c>
      <c r="C3" s="103" t="s">
        <v>162</v>
      </c>
      <c r="D3" s="103" t="s">
        <v>163</v>
      </c>
    </row>
    <row r="4" spans="1:4" x14ac:dyDescent="0.35">
      <c r="A4" s="97" t="s">
        <v>50</v>
      </c>
      <c r="B4" s="97" t="s">
        <v>164</v>
      </c>
      <c r="C4" s="97" t="s">
        <v>165</v>
      </c>
      <c r="D4" s="97" t="s">
        <v>166</v>
      </c>
    </row>
    <row r="5" spans="1:4" x14ac:dyDescent="0.35">
      <c r="A5" s="97" t="s">
        <v>167</v>
      </c>
      <c r="B5" s="97" t="s">
        <v>168</v>
      </c>
      <c r="C5" s="97" t="s">
        <v>169</v>
      </c>
      <c r="D5" s="97" t="s">
        <v>170</v>
      </c>
    </row>
    <row r="6" spans="1:4" x14ac:dyDescent="0.35">
      <c r="A6" s="97" t="s">
        <v>171</v>
      </c>
      <c r="B6" s="97" t="s">
        <v>172</v>
      </c>
      <c r="D6" s="97" t="s">
        <v>173</v>
      </c>
    </row>
    <row r="7" spans="1:4" x14ac:dyDescent="0.35">
      <c r="A7" s="97" t="s">
        <v>174</v>
      </c>
      <c r="D7" s="97" t="s">
        <v>175</v>
      </c>
    </row>
    <row r="8" spans="1:4" x14ac:dyDescent="0.35">
      <c r="A8" s="97" t="s">
        <v>173</v>
      </c>
      <c r="D8" s="97" t="s">
        <v>176</v>
      </c>
    </row>
    <row r="9" spans="1:4" x14ac:dyDescent="0.35">
      <c r="A9" s="97" t="s">
        <v>175</v>
      </c>
      <c r="D9" s="97" t="s">
        <v>177</v>
      </c>
    </row>
    <row r="10" spans="1:4" x14ac:dyDescent="0.35">
      <c r="A10" s="97" t="s">
        <v>178</v>
      </c>
      <c r="D10" s="97" t="s">
        <v>179</v>
      </c>
    </row>
    <row r="11" spans="1:4" x14ac:dyDescent="0.35">
      <c r="A11" s="97" t="s">
        <v>180</v>
      </c>
      <c r="D11" s="97" t="s">
        <v>181</v>
      </c>
    </row>
    <row r="12" spans="1:4" x14ac:dyDescent="0.35">
      <c r="A12" s="97" t="s">
        <v>182</v>
      </c>
      <c r="D12" s="97" t="s">
        <v>183</v>
      </c>
    </row>
    <row r="13" spans="1:4" x14ac:dyDescent="0.35">
      <c r="A13" s="97" t="s">
        <v>184</v>
      </c>
    </row>
    <row r="14" spans="1:4" x14ac:dyDescent="0.35">
      <c r="A14" s="97" t="s">
        <v>185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B69CE-8799-4F0B-BF30-499F90AE6C2D}">
  <sheetPr>
    <tabColor rgb="FF117A65"/>
  </sheetPr>
  <dimension ref="B2:L44"/>
  <sheetViews>
    <sheetView topLeftCell="B8" zoomScale="92" workbookViewId="0">
      <selection activeCell="L11" sqref="L11:L37"/>
    </sheetView>
  </sheetViews>
  <sheetFormatPr defaultColWidth="8.7265625" defaultRowHeight="14.5" x14ac:dyDescent="0.35"/>
  <cols>
    <col min="1" max="1" width="8.7265625" style="97"/>
    <col min="2" max="9" width="20" style="97" customWidth="1"/>
    <col min="10" max="11" width="8.7265625" style="97"/>
    <col min="12" max="12" width="36.453125" style="97" customWidth="1"/>
    <col min="13" max="16384" width="8.7265625" style="97"/>
  </cols>
  <sheetData>
    <row r="2" spans="2:12" ht="18.5" x14ac:dyDescent="0.45">
      <c r="B2" s="491" t="s">
        <v>186</v>
      </c>
      <c r="C2" s="491"/>
      <c r="D2" s="491"/>
      <c r="E2" s="491"/>
      <c r="F2" s="491"/>
      <c r="G2" s="491"/>
      <c r="H2" s="491"/>
      <c r="I2" s="491"/>
      <c r="J2" s="491"/>
      <c r="K2" s="491"/>
    </row>
    <row r="4" spans="2:12" x14ac:dyDescent="0.35">
      <c r="B4" s="430" t="s">
        <v>4920</v>
      </c>
    </row>
    <row r="6" spans="2:12" x14ac:dyDescent="0.35">
      <c r="B6" s="493" t="s">
        <v>187</v>
      </c>
      <c r="C6" s="493"/>
      <c r="D6" s="493"/>
      <c r="E6" s="493"/>
      <c r="F6" s="493"/>
      <c r="G6" s="493"/>
      <c r="H6" s="493"/>
      <c r="I6" s="493"/>
      <c r="J6" s="493"/>
      <c r="K6" s="493"/>
    </row>
    <row r="7" spans="2:12" ht="70" customHeight="1" x14ac:dyDescent="0.35">
      <c r="B7" s="494" t="s">
        <v>188</v>
      </c>
      <c r="C7" s="494"/>
      <c r="D7" s="494"/>
      <c r="E7" s="494"/>
      <c r="F7" s="494"/>
      <c r="G7" s="494"/>
      <c r="H7" s="494"/>
      <c r="I7" s="494"/>
      <c r="J7" s="494"/>
      <c r="K7" s="494"/>
    </row>
    <row r="10" spans="2:12" ht="15.5" x14ac:dyDescent="0.35">
      <c r="B10" s="495" t="s">
        <v>189</v>
      </c>
      <c r="C10" s="495"/>
      <c r="D10" s="495"/>
      <c r="E10" s="495"/>
      <c r="F10" s="495"/>
      <c r="G10" s="495"/>
      <c r="H10" s="495"/>
      <c r="I10" s="495"/>
      <c r="J10" s="495"/>
      <c r="K10" s="495"/>
    </row>
    <row r="11" spans="2:12" x14ac:dyDescent="0.35">
      <c r="B11" s="497" t="s">
        <v>190</v>
      </c>
      <c r="C11" s="497"/>
      <c r="D11" s="497"/>
      <c r="E11" s="497"/>
      <c r="F11" s="497" t="s">
        <v>191</v>
      </c>
      <c r="G11" s="497"/>
      <c r="H11" s="497"/>
      <c r="I11" s="497" t="s">
        <v>192</v>
      </c>
      <c r="J11" s="497"/>
      <c r="K11" s="497"/>
      <c r="L11" s="314" t="s">
        <v>193</v>
      </c>
    </row>
    <row r="12" spans="2:12" x14ac:dyDescent="0.35">
      <c r="B12" s="490" t="s">
        <v>194</v>
      </c>
      <c r="C12" s="490"/>
      <c r="D12" s="490"/>
      <c r="E12" s="490"/>
      <c r="F12" s="490" t="s">
        <v>195</v>
      </c>
      <c r="G12" s="490"/>
      <c r="H12" s="490"/>
      <c r="I12" s="490" t="s">
        <v>196</v>
      </c>
      <c r="J12" s="490"/>
      <c r="K12" s="490"/>
      <c r="L12" s="201" t="s">
        <v>197</v>
      </c>
    </row>
    <row r="13" spans="2:12" x14ac:dyDescent="0.35">
      <c r="B13" s="490" t="s">
        <v>198</v>
      </c>
      <c r="C13" s="490"/>
      <c r="D13" s="490"/>
      <c r="E13" s="490"/>
      <c r="F13" s="490" t="s">
        <v>199</v>
      </c>
      <c r="G13" s="490"/>
      <c r="H13" s="490"/>
      <c r="I13" s="490" t="s">
        <v>200</v>
      </c>
      <c r="J13" s="490"/>
      <c r="K13" s="490"/>
      <c r="L13" s="201" t="s">
        <v>201</v>
      </c>
    </row>
    <row r="14" spans="2:12" x14ac:dyDescent="0.35">
      <c r="B14" s="490" t="s">
        <v>202</v>
      </c>
      <c r="C14" s="490"/>
      <c r="D14" s="490"/>
      <c r="E14" s="490"/>
      <c r="F14" s="490" t="s">
        <v>203</v>
      </c>
      <c r="G14" s="490"/>
      <c r="H14" s="490"/>
      <c r="I14" s="490" t="s">
        <v>204</v>
      </c>
      <c r="J14" s="490"/>
      <c r="K14" s="490"/>
      <c r="L14" s="315" t="s">
        <v>205</v>
      </c>
    </row>
    <row r="15" spans="2:12" x14ac:dyDescent="0.35">
      <c r="B15" s="490" t="s">
        <v>206</v>
      </c>
      <c r="C15" s="490"/>
      <c r="D15" s="490"/>
      <c r="E15" s="490"/>
      <c r="F15" s="498" t="s">
        <v>207</v>
      </c>
      <c r="G15" s="498"/>
      <c r="H15" s="498"/>
      <c r="I15" s="490" t="s">
        <v>208</v>
      </c>
      <c r="J15" s="490"/>
      <c r="K15" s="490"/>
      <c r="L15" s="315" t="s">
        <v>209</v>
      </c>
    </row>
    <row r="16" spans="2:12" x14ac:dyDescent="0.35">
      <c r="B16" s="490" t="s">
        <v>210</v>
      </c>
      <c r="C16" s="490"/>
      <c r="D16" s="490"/>
      <c r="E16" s="490"/>
      <c r="F16" s="490" t="s">
        <v>211</v>
      </c>
      <c r="G16" s="490"/>
      <c r="H16" s="490"/>
      <c r="I16" s="490" t="s">
        <v>212</v>
      </c>
      <c r="J16" s="490"/>
      <c r="K16" s="490"/>
      <c r="L16" s="201" t="s">
        <v>213</v>
      </c>
    </row>
    <row r="17" spans="2:12" x14ac:dyDescent="0.35">
      <c r="B17" s="499" t="s">
        <v>214</v>
      </c>
      <c r="C17" s="499"/>
      <c r="D17" s="499"/>
      <c r="E17" s="499"/>
      <c r="F17" s="499" t="s">
        <v>215</v>
      </c>
      <c r="G17" s="499"/>
      <c r="H17" s="499"/>
      <c r="I17" s="500" t="s">
        <v>216</v>
      </c>
      <c r="J17" s="500"/>
      <c r="K17" s="500"/>
      <c r="L17" s="315" t="s">
        <v>217</v>
      </c>
    </row>
    <row r="18" spans="2:12" x14ac:dyDescent="0.35">
      <c r="B18" s="122"/>
      <c r="C18" s="122"/>
      <c r="D18" s="122"/>
      <c r="E18" s="122"/>
      <c r="F18" s="122"/>
      <c r="G18" s="122"/>
      <c r="H18" s="122"/>
      <c r="I18" s="122"/>
      <c r="J18" s="122"/>
      <c r="K18" s="122"/>
    </row>
    <row r="19" spans="2:12" x14ac:dyDescent="0.35">
      <c r="B19" s="122"/>
      <c r="C19" s="122"/>
      <c r="D19" s="122"/>
      <c r="E19" s="122"/>
      <c r="F19" s="122"/>
      <c r="G19" s="122"/>
      <c r="H19" s="122"/>
      <c r="I19" s="122"/>
      <c r="J19" s="122"/>
      <c r="K19" s="122"/>
    </row>
    <row r="20" spans="2:12" ht="15.5" x14ac:dyDescent="0.35">
      <c r="B20" s="496" t="s">
        <v>218</v>
      </c>
      <c r="C20" s="496"/>
      <c r="D20" s="496"/>
      <c r="E20" s="496"/>
      <c r="F20" s="496"/>
      <c r="G20" s="496"/>
      <c r="H20" s="496"/>
      <c r="I20" s="496"/>
      <c r="J20" s="496"/>
      <c r="K20" s="496"/>
    </row>
    <row r="21" spans="2:12" x14ac:dyDescent="0.35">
      <c r="B21" s="497" t="s">
        <v>219</v>
      </c>
      <c r="C21" s="497"/>
      <c r="D21" s="497"/>
      <c r="E21" s="497"/>
      <c r="F21" s="497" t="s">
        <v>191</v>
      </c>
      <c r="G21" s="497"/>
      <c r="H21" s="497"/>
      <c r="I21" s="497" t="s">
        <v>192</v>
      </c>
      <c r="J21" s="497"/>
      <c r="K21" s="497"/>
      <c r="L21" s="314" t="s">
        <v>193</v>
      </c>
    </row>
    <row r="22" spans="2:12" x14ac:dyDescent="0.35">
      <c r="B22" s="490" t="s">
        <v>220</v>
      </c>
      <c r="C22" s="490"/>
      <c r="D22" s="490"/>
      <c r="E22" s="490"/>
      <c r="F22" s="490" t="s">
        <v>221</v>
      </c>
      <c r="G22" s="490"/>
      <c r="H22" s="490"/>
      <c r="I22" s="490" t="s">
        <v>222</v>
      </c>
      <c r="J22" s="490"/>
      <c r="K22" s="490"/>
      <c r="L22" s="315" t="s">
        <v>223</v>
      </c>
    </row>
    <row r="23" spans="2:12" x14ac:dyDescent="0.35">
      <c r="B23" s="490" t="s">
        <v>224</v>
      </c>
      <c r="C23" s="490"/>
      <c r="D23" s="490"/>
      <c r="E23" s="490"/>
      <c r="F23" s="490" t="s">
        <v>225</v>
      </c>
      <c r="G23" s="490"/>
      <c r="H23" s="490"/>
      <c r="I23" s="490" t="s">
        <v>226</v>
      </c>
      <c r="J23" s="490"/>
      <c r="K23" s="490"/>
      <c r="L23" s="201" t="s">
        <v>227</v>
      </c>
    </row>
    <row r="24" spans="2:12" x14ac:dyDescent="0.35">
      <c r="B24" s="490" t="s">
        <v>228</v>
      </c>
      <c r="C24" s="490"/>
      <c r="D24" s="490"/>
      <c r="E24" s="490"/>
      <c r="F24" s="490" t="s">
        <v>229</v>
      </c>
      <c r="G24" s="490"/>
      <c r="H24" s="490"/>
      <c r="I24" s="490" t="s">
        <v>230</v>
      </c>
      <c r="J24" s="490"/>
      <c r="K24" s="490"/>
      <c r="L24" s="315" t="s">
        <v>231</v>
      </c>
    </row>
    <row r="25" spans="2:12" x14ac:dyDescent="0.35">
      <c r="B25" s="490" t="s">
        <v>232</v>
      </c>
      <c r="C25" s="490"/>
      <c r="D25" s="490"/>
      <c r="E25" s="490"/>
      <c r="F25" s="498" t="s">
        <v>233</v>
      </c>
      <c r="G25" s="498"/>
      <c r="H25" s="498"/>
      <c r="I25" s="490" t="s">
        <v>234</v>
      </c>
      <c r="J25" s="490"/>
      <c r="K25" s="490"/>
      <c r="L25" s="315" t="s">
        <v>209</v>
      </c>
    </row>
    <row r="26" spans="2:12" x14ac:dyDescent="0.35">
      <c r="B26" s="490" t="s">
        <v>235</v>
      </c>
      <c r="C26" s="490"/>
      <c r="D26" s="490"/>
      <c r="E26" s="490"/>
      <c r="F26" s="490" t="s">
        <v>236</v>
      </c>
      <c r="G26" s="490"/>
      <c r="H26" s="490"/>
      <c r="I26" s="490" t="s">
        <v>237</v>
      </c>
      <c r="J26" s="490"/>
      <c r="K26" s="490"/>
      <c r="L26" s="201" t="s">
        <v>238</v>
      </c>
    </row>
    <row r="27" spans="2:12" x14ac:dyDescent="0.35">
      <c r="B27" s="499" t="s">
        <v>239</v>
      </c>
      <c r="C27" s="499"/>
      <c r="D27" s="499"/>
      <c r="E27" s="499"/>
      <c r="F27" s="499" t="s">
        <v>240</v>
      </c>
      <c r="G27" s="499"/>
      <c r="H27" s="499"/>
      <c r="I27" s="500" t="s">
        <v>241</v>
      </c>
      <c r="J27" s="500"/>
      <c r="K27" s="500"/>
      <c r="L27" s="315" t="s">
        <v>242</v>
      </c>
    </row>
    <row r="28" spans="2:12" x14ac:dyDescent="0.35">
      <c r="B28" s="122"/>
      <c r="C28" s="122"/>
      <c r="D28" s="122"/>
      <c r="E28" s="122"/>
      <c r="F28" s="122"/>
      <c r="G28" s="122"/>
      <c r="H28" s="122"/>
      <c r="I28" s="122"/>
      <c r="J28" s="122"/>
      <c r="K28" s="122"/>
    </row>
    <row r="29" spans="2:12" x14ac:dyDescent="0.35">
      <c r="B29" s="122"/>
      <c r="C29" s="122"/>
      <c r="D29" s="122"/>
      <c r="E29" s="122"/>
      <c r="F29" s="122"/>
      <c r="G29" s="122"/>
      <c r="H29" s="122"/>
      <c r="I29" s="122"/>
      <c r="J29" s="122"/>
      <c r="K29" s="122"/>
    </row>
    <row r="30" spans="2:12" ht="15.5" x14ac:dyDescent="0.35">
      <c r="B30" s="496" t="s">
        <v>243</v>
      </c>
      <c r="C30" s="496"/>
      <c r="D30" s="496"/>
      <c r="E30" s="496"/>
      <c r="F30" s="496"/>
      <c r="G30" s="496"/>
      <c r="H30" s="496"/>
      <c r="I30" s="496"/>
      <c r="J30" s="496"/>
      <c r="K30" s="496"/>
    </row>
    <row r="31" spans="2:12" x14ac:dyDescent="0.35">
      <c r="B31" s="497" t="s">
        <v>244</v>
      </c>
      <c r="C31" s="497"/>
      <c r="D31" s="497"/>
      <c r="E31" s="497"/>
      <c r="F31" s="497" t="s">
        <v>191</v>
      </c>
      <c r="G31" s="497"/>
      <c r="H31" s="497"/>
      <c r="I31" s="497" t="s">
        <v>192</v>
      </c>
      <c r="J31" s="497"/>
      <c r="K31" s="497"/>
      <c r="L31" s="314" t="s">
        <v>193</v>
      </c>
    </row>
    <row r="32" spans="2:12" x14ac:dyDescent="0.35">
      <c r="B32" s="490" t="s">
        <v>245</v>
      </c>
      <c r="C32" s="490"/>
      <c r="D32" s="490"/>
      <c r="E32" s="490"/>
      <c r="F32" s="490" t="s">
        <v>246</v>
      </c>
      <c r="G32" s="490"/>
      <c r="H32" s="490"/>
      <c r="I32" s="490" t="s">
        <v>247</v>
      </c>
      <c r="J32" s="490"/>
      <c r="K32" s="490"/>
      <c r="L32" s="315" t="s">
        <v>248</v>
      </c>
    </row>
    <row r="33" spans="2:12" x14ac:dyDescent="0.35">
      <c r="B33" s="490" t="s">
        <v>249</v>
      </c>
      <c r="C33" s="490"/>
      <c r="D33" s="490"/>
      <c r="E33" s="490"/>
      <c r="F33" s="490" t="s">
        <v>250</v>
      </c>
      <c r="G33" s="490"/>
      <c r="H33" s="490"/>
      <c r="I33" s="490" t="s">
        <v>251</v>
      </c>
      <c r="J33" s="490"/>
      <c r="K33" s="490"/>
      <c r="L33" s="315" t="s">
        <v>252</v>
      </c>
    </row>
    <row r="34" spans="2:12" x14ac:dyDescent="0.35">
      <c r="B34" s="490" t="s">
        <v>253</v>
      </c>
      <c r="C34" s="490"/>
      <c r="D34" s="490"/>
      <c r="E34" s="490"/>
      <c r="F34" s="490" t="s">
        <v>254</v>
      </c>
      <c r="G34" s="490"/>
      <c r="H34" s="490"/>
      <c r="I34" s="490" t="s">
        <v>255</v>
      </c>
      <c r="J34" s="490"/>
      <c r="K34" s="490"/>
      <c r="L34" s="315" t="s">
        <v>256</v>
      </c>
    </row>
    <row r="35" spans="2:12" x14ac:dyDescent="0.35">
      <c r="B35" s="490" t="s">
        <v>257</v>
      </c>
      <c r="C35" s="490"/>
      <c r="D35" s="490"/>
      <c r="E35" s="490"/>
      <c r="F35" s="498" t="s">
        <v>258</v>
      </c>
      <c r="G35" s="498"/>
      <c r="H35" s="498"/>
      <c r="I35" s="490" t="s">
        <v>259</v>
      </c>
      <c r="J35" s="490"/>
      <c r="K35" s="490"/>
      <c r="L35" s="315" t="s">
        <v>209</v>
      </c>
    </row>
    <row r="36" spans="2:12" x14ac:dyDescent="0.35">
      <c r="B36" s="490" t="s">
        <v>260</v>
      </c>
      <c r="C36" s="490"/>
      <c r="D36" s="490"/>
      <c r="E36" s="490"/>
      <c r="F36" s="490" t="s">
        <v>261</v>
      </c>
      <c r="G36" s="490"/>
      <c r="H36" s="490"/>
      <c r="I36" s="490" t="s">
        <v>262</v>
      </c>
      <c r="J36" s="490"/>
      <c r="K36" s="490"/>
      <c r="L36" s="315" t="s">
        <v>209</v>
      </c>
    </row>
    <row r="37" spans="2:12" x14ac:dyDescent="0.35">
      <c r="B37" s="499" t="s">
        <v>263</v>
      </c>
      <c r="C37" s="499"/>
      <c r="D37" s="499"/>
      <c r="E37" s="499"/>
      <c r="F37" s="499" t="s">
        <v>264</v>
      </c>
      <c r="G37" s="499"/>
      <c r="H37" s="499"/>
      <c r="I37" s="500" t="s">
        <v>265</v>
      </c>
      <c r="J37" s="500"/>
      <c r="K37" s="500"/>
      <c r="L37" s="315" t="s">
        <v>266</v>
      </c>
    </row>
    <row r="40" spans="2:12" x14ac:dyDescent="0.35">
      <c r="B40" s="503" t="s">
        <v>267</v>
      </c>
      <c r="C40" s="503"/>
      <c r="D40" s="503"/>
      <c r="E40" s="503"/>
      <c r="F40" s="503"/>
      <c r="G40" s="503"/>
      <c r="H40" s="503"/>
      <c r="I40" s="503"/>
      <c r="J40" s="503"/>
      <c r="K40" s="503"/>
    </row>
    <row r="41" spans="2:12" x14ac:dyDescent="0.35">
      <c r="B41" s="501" t="s">
        <v>268</v>
      </c>
      <c r="C41" s="501"/>
      <c r="D41" s="501"/>
      <c r="E41" s="501"/>
      <c r="F41" s="501" t="s">
        <v>215</v>
      </c>
      <c r="G41" s="501"/>
      <c r="H41" s="501"/>
      <c r="I41" s="501"/>
      <c r="J41" s="501"/>
      <c r="K41" s="501"/>
    </row>
    <row r="42" spans="2:12" x14ac:dyDescent="0.35">
      <c r="B42" s="501" t="s">
        <v>269</v>
      </c>
      <c r="C42" s="501"/>
      <c r="D42" s="501"/>
      <c r="E42" s="501"/>
      <c r="F42" s="501" t="s">
        <v>240</v>
      </c>
      <c r="G42" s="501"/>
      <c r="H42" s="501"/>
      <c r="I42" s="501"/>
      <c r="J42" s="501"/>
      <c r="K42" s="501"/>
    </row>
    <row r="43" spans="2:12" x14ac:dyDescent="0.35">
      <c r="B43" s="501" t="s">
        <v>270</v>
      </c>
      <c r="C43" s="501"/>
      <c r="D43" s="501"/>
      <c r="E43" s="501"/>
      <c r="F43" s="501" t="s">
        <v>264</v>
      </c>
      <c r="G43" s="501"/>
      <c r="H43" s="501"/>
      <c r="I43" s="501"/>
      <c r="J43" s="501"/>
      <c r="K43" s="501"/>
    </row>
    <row r="44" spans="2:12" ht="40" customHeight="1" x14ac:dyDescent="0.35">
      <c r="B44" s="501" t="s">
        <v>271</v>
      </c>
      <c r="C44" s="501"/>
      <c r="D44" s="501"/>
      <c r="E44" s="501"/>
      <c r="F44" s="502" t="s">
        <v>272</v>
      </c>
      <c r="G44" s="501"/>
      <c r="H44" s="501"/>
      <c r="I44" s="501"/>
      <c r="J44" s="501"/>
      <c r="K44" s="501"/>
    </row>
  </sheetData>
  <mergeCells count="78">
    <mergeCell ref="B44:E44"/>
    <mergeCell ref="F44:K44"/>
    <mergeCell ref="B40:K40"/>
    <mergeCell ref="B41:E41"/>
    <mergeCell ref="F41:K41"/>
    <mergeCell ref="B42:E42"/>
    <mergeCell ref="F42:K42"/>
    <mergeCell ref="B43:E43"/>
    <mergeCell ref="F43:K43"/>
    <mergeCell ref="B36:E36"/>
    <mergeCell ref="F36:H36"/>
    <mergeCell ref="I36:K36"/>
    <mergeCell ref="B37:E37"/>
    <mergeCell ref="F37:H37"/>
    <mergeCell ref="I37:K37"/>
    <mergeCell ref="B34:E34"/>
    <mergeCell ref="F34:H34"/>
    <mergeCell ref="I34:K34"/>
    <mergeCell ref="B35:E35"/>
    <mergeCell ref="F35:H35"/>
    <mergeCell ref="I35:K35"/>
    <mergeCell ref="B32:E32"/>
    <mergeCell ref="F32:H32"/>
    <mergeCell ref="I32:K32"/>
    <mergeCell ref="B33:E33"/>
    <mergeCell ref="F33:H33"/>
    <mergeCell ref="I33:K33"/>
    <mergeCell ref="B26:E26"/>
    <mergeCell ref="F26:H26"/>
    <mergeCell ref="I26:K26"/>
    <mergeCell ref="B27:E27"/>
    <mergeCell ref="F27:H27"/>
    <mergeCell ref="I27:K27"/>
    <mergeCell ref="B17:E17"/>
    <mergeCell ref="F17:H17"/>
    <mergeCell ref="I17:K17"/>
    <mergeCell ref="B22:E22"/>
    <mergeCell ref="F22:H22"/>
    <mergeCell ref="I22:K22"/>
    <mergeCell ref="I14:K14"/>
    <mergeCell ref="B15:E15"/>
    <mergeCell ref="F15:H15"/>
    <mergeCell ref="I15:K15"/>
    <mergeCell ref="B16:E16"/>
    <mergeCell ref="F16:H16"/>
    <mergeCell ref="I16:K16"/>
    <mergeCell ref="B31:E31"/>
    <mergeCell ref="F31:H31"/>
    <mergeCell ref="I31:K31"/>
    <mergeCell ref="B30:K30"/>
    <mergeCell ref="B21:E21"/>
    <mergeCell ref="F21:H21"/>
    <mergeCell ref="I21:K21"/>
    <mergeCell ref="B23:E23"/>
    <mergeCell ref="F23:H23"/>
    <mergeCell ref="I23:K23"/>
    <mergeCell ref="B24:E24"/>
    <mergeCell ref="F24:H24"/>
    <mergeCell ref="I24:K24"/>
    <mergeCell ref="B25:E25"/>
    <mergeCell ref="F25:H25"/>
    <mergeCell ref="I25:K25"/>
    <mergeCell ref="B2:K2"/>
    <mergeCell ref="B6:K6"/>
    <mergeCell ref="B7:K7"/>
    <mergeCell ref="B10:K10"/>
    <mergeCell ref="B20:K20"/>
    <mergeCell ref="B11:E11"/>
    <mergeCell ref="F11:H11"/>
    <mergeCell ref="I11:K11"/>
    <mergeCell ref="B12:E12"/>
    <mergeCell ref="F12:H12"/>
    <mergeCell ref="I12:K12"/>
    <mergeCell ref="B13:E13"/>
    <mergeCell ref="F13:H13"/>
    <mergeCell ref="I13:K13"/>
    <mergeCell ref="B14:E14"/>
    <mergeCell ref="F14:H14"/>
  </mergeCells>
  <hyperlinks>
    <hyperlink ref="L12" r:id="rId1" tooltip="https://www.bps.go.id/en/statistics-table/2/NTcjMg==/perkembangan-jumlah-kendaraan-bermotor-menurut-jenis--unit-.html" xr:uid="{5C193077-B8F0-4A66-87B7-B1D2C7E7E9AC}"/>
    <hyperlink ref="L13" r:id="rId2" tooltip="https://www.esdm.go.id/id/media-center/arsip-berita/ini-target-pemerintah-untuk-populasi-kendaraan-listrik-di-tahun-2030" xr:uid="{1EE9D4C3-1A91-4E40-938E-8B1C68952E80}"/>
    <hyperlink ref="L16" r:id="rId3" tooltip="https://www.mordorintelligence.com/industry-reports/asean-energy-storage-market" xr:uid="{6C575F09-20E0-42CF-B10B-E962C759BDF4}"/>
    <hyperlink ref="L23" r:id="rId4" tooltip="https://www.bps.go.id/" xr:uid="{A816639C-5B4B-4BDE-8773-9E139E9798FC}"/>
    <hyperlink ref="L26" r:id="rId5" tooltip="https://www.indexbox.io/store/indonesia-advanced-energy-storage-systems-market-analysis-forecast-size-trends-and-insights/" xr:uid="{903FE853-C66B-44F1-9CFB-AC61B2A11817}"/>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D1804-191A-419A-9D11-44C6AF0A0C7A}">
  <sheetPr>
    <tabColor rgb="FF117A65"/>
  </sheetPr>
  <dimension ref="B2:M16"/>
  <sheetViews>
    <sheetView zoomScale="38" workbookViewId="0">
      <selection activeCell="AG35" sqref="AG35"/>
    </sheetView>
  </sheetViews>
  <sheetFormatPr defaultColWidth="8.7265625" defaultRowHeight="14.5" x14ac:dyDescent="0.35"/>
  <cols>
    <col min="1" max="1" width="8.7265625" style="97"/>
    <col min="2" max="11" width="16.453125" style="97" customWidth="1"/>
    <col min="12" max="16384" width="8.7265625" style="97"/>
  </cols>
  <sheetData>
    <row r="2" spans="2:13" ht="18.5" x14ac:dyDescent="0.45">
      <c r="B2" s="491" t="s">
        <v>273</v>
      </c>
      <c r="C2" s="491"/>
      <c r="D2" s="491"/>
      <c r="E2" s="491"/>
      <c r="F2" s="491"/>
      <c r="G2" s="491"/>
      <c r="H2" s="491"/>
      <c r="I2" s="491"/>
      <c r="J2" s="491"/>
      <c r="K2" s="491"/>
      <c r="L2" s="491"/>
      <c r="M2" s="491"/>
    </row>
    <row r="7" spans="2:13" ht="15.5" x14ac:dyDescent="0.35">
      <c r="B7" s="495" t="s">
        <v>274</v>
      </c>
      <c r="C7" s="495"/>
      <c r="D7" s="495"/>
      <c r="E7" s="495"/>
      <c r="F7" s="495"/>
      <c r="G7" s="495"/>
      <c r="H7" s="495"/>
      <c r="I7" s="495"/>
      <c r="J7" s="495"/>
      <c r="K7" s="495"/>
      <c r="L7" s="495"/>
      <c r="M7" s="495"/>
    </row>
    <row r="8" spans="2:13" x14ac:dyDescent="0.35">
      <c r="B8" s="125" t="s">
        <v>275</v>
      </c>
      <c r="C8" s="499" t="s">
        <v>276</v>
      </c>
      <c r="D8" s="499"/>
      <c r="E8" s="499"/>
      <c r="F8" s="499" t="s">
        <v>277</v>
      </c>
      <c r="G8" s="499"/>
      <c r="H8" s="499" t="s">
        <v>278</v>
      </c>
      <c r="I8" s="499"/>
      <c r="J8" s="499"/>
      <c r="K8" s="499" t="s">
        <v>279</v>
      </c>
      <c r="L8" s="499"/>
      <c r="M8" s="499"/>
    </row>
    <row r="9" spans="2:13" ht="70" customHeight="1" x14ac:dyDescent="0.35">
      <c r="B9" s="124">
        <v>1</v>
      </c>
      <c r="C9" s="490" t="s">
        <v>280</v>
      </c>
      <c r="D9" s="490"/>
      <c r="E9" s="490"/>
      <c r="F9" s="490" t="s">
        <v>281</v>
      </c>
      <c r="G9" s="490"/>
      <c r="H9" s="490" t="s">
        <v>282</v>
      </c>
      <c r="I9" s="490"/>
      <c r="J9" s="490"/>
      <c r="K9" s="490" t="s">
        <v>283</v>
      </c>
      <c r="L9" s="490"/>
      <c r="M9" s="490"/>
    </row>
    <row r="10" spans="2:13" ht="70" customHeight="1" x14ac:dyDescent="0.35">
      <c r="B10" s="124">
        <v>2</v>
      </c>
      <c r="C10" s="490" t="s">
        <v>284</v>
      </c>
      <c r="D10" s="490"/>
      <c r="E10" s="490"/>
      <c r="F10" s="490" t="s">
        <v>285</v>
      </c>
      <c r="G10" s="490"/>
      <c r="H10" s="490" t="s">
        <v>286</v>
      </c>
      <c r="I10" s="490"/>
      <c r="J10" s="490"/>
      <c r="K10" s="490" t="s">
        <v>287</v>
      </c>
      <c r="L10" s="490"/>
      <c r="M10" s="490"/>
    </row>
    <row r="11" spans="2:13" ht="70" customHeight="1" x14ac:dyDescent="0.35">
      <c r="B11" s="124">
        <v>3</v>
      </c>
      <c r="C11" s="490" t="s">
        <v>288</v>
      </c>
      <c r="D11" s="490"/>
      <c r="E11" s="490"/>
      <c r="F11" s="490" t="s">
        <v>289</v>
      </c>
      <c r="G11" s="490"/>
      <c r="H11" s="490" t="s">
        <v>290</v>
      </c>
      <c r="I11" s="490"/>
      <c r="J11" s="490"/>
      <c r="K11" s="490" t="s">
        <v>291</v>
      </c>
      <c r="L11" s="490"/>
      <c r="M11" s="490"/>
    </row>
    <row r="12" spans="2:13" ht="70" customHeight="1" x14ac:dyDescent="0.35">
      <c r="B12" s="124">
        <v>4</v>
      </c>
      <c r="C12" s="490" t="s">
        <v>292</v>
      </c>
      <c r="D12" s="490"/>
      <c r="E12" s="490"/>
      <c r="F12" s="490" t="s">
        <v>293</v>
      </c>
      <c r="G12" s="490"/>
      <c r="H12" s="490" t="s">
        <v>294</v>
      </c>
      <c r="I12" s="490"/>
      <c r="J12" s="490"/>
      <c r="K12" s="490" t="s">
        <v>295</v>
      </c>
      <c r="L12" s="490"/>
      <c r="M12" s="490"/>
    </row>
    <row r="13" spans="2:13" ht="70" customHeight="1" x14ac:dyDescent="0.35">
      <c r="B13" s="124">
        <v>5</v>
      </c>
      <c r="C13" s="490" t="s">
        <v>296</v>
      </c>
      <c r="D13" s="490"/>
      <c r="E13" s="490"/>
      <c r="F13" s="490" t="s">
        <v>297</v>
      </c>
      <c r="G13" s="490"/>
      <c r="H13" s="490" t="s">
        <v>298</v>
      </c>
      <c r="I13" s="490"/>
      <c r="J13" s="490"/>
      <c r="K13" s="490" t="s">
        <v>299</v>
      </c>
      <c r="L13" s="490"/>
      <c r="M13" s="490"/>
    </row>
    <row r="14" spans="2:13" ht="70" customHeight="1" x14ac:dyDescent="0.35">
      <c r="B14" s="124">
        <v>6</v>
      </c>
      <c r="C14" s="490" t="s">
        <v>300</v>
      </c>
      <c r="D14" s="490"/>
      <c r="E14" s="490"/>
      <c r="F14" s="490" t="s">
        <v>301</v>
      </c>
      <c r="G14" s="490"/>
      <c r="H14" s="490" t="s">
        <v>302</v>
      </c>
      <c r="I14" s="490"/>
      <c r="J14" s="490"/>
      <c r="K14" s="490" t="s">
        <v>303</v>
      </c>
      <c r="L14" s="490"/>
      <c r="M14" s="490"/>
    </row>
    <row r="15" spans="2:13" ht="70" customHeight="1" x14ac:dyDescent="0.35">
      <c r="B15" s="124">
        <v>7</v>
      </c>
      <c r="C15" s="490" t="s">
        <v>304</v>
      </c>
      <c r="D15" s="490"/>
      <c r="E15" s="490"/>
      <c r="F15" s="490" t="s">
        <v>305</v>
      </c>
      <c r="G15" s="490"/>
      <c r="H15" s="490" t="s">
        <v>306</v>
      </c>
      <c r="I15" s="490"/>
      <c r="J15" s="490"/>
      <c r="K15" s="490" t="s">
        <v>307</v>
      </c>
      <c r="L15" s="490"/>
      <c r="M15" s="490"/>
    </row>
    <row r="16" spans="2:13" ht="70" customHeight="1" x14ac:dyDescent="0.35">
      <c r="B16" s="124">
        <v>8</v>
      </c>
      <c r="C16" s="490" t="s">
        <v>308</v>
      </c>
      <c r="D16" s="490"/>
      <c r="E16" s="490"/>
      <c r="F16" s="490" t="s">
        <v>309</v>
      </c>
      <c r="G16" s="490"/>
      <c r="H16" s="490" t="s">
        <v>310</v>
      </c>
      <c r="I16" s="490"/>
      <c r="J16" s="490"/>
      <c r="K16" s="490" t="s">
        <v>311</v>
      </c>
      <c r="L16" s="490"/>
      <c r="M16" s="490"/>
    </row>
  </sheetData>
  <mergeCells count="38">
    <mergeCell ref="C15:E15"/>
    <mergeCell ref="F15:G15"/>
    <mergeCell ref="H15:J15"/>
    <mergeCell ref="K15:M15"/>
    <mergeCell ref="C16:E16"/>
    <mergeCell ref="F16:G16"/>
    <mergeCell ref="H16:J16"/>
    <mergeCell ref="K16:M16"/>
    <mergeCell ref="C13:E13"/>
    <mergeCell ref="F13:G13"/>
    <mergeCell ref="H13:J13"/>
    <mergeCell ref="K13:M13"/>
    <mergeCell ref="C14:E14"/>
    <mergeCell ref="F14:G14"/>
    <mergeCell ref="H14:J14"/>
    <mergeCell ref="K14:M14"/>
    <mergeCell ref="C11:E11"/>
    <mergeCell ref="F11:G11"/>
    <mergeCell ref="H11:J11"/>
    <mergeCell ref="K11:M11"/>
    <mergeCell ref="C12:E12"/>
    <mergeCell ref="F12:G12"/>
    <mergeCell ref="H12:J12"/>
    <mergeCell ref="K12:M12"/>
    <mergeCell ref="C9:E9"/>
    <mergeCell ref="F9:G9"/>
    <mergeCell ref="H9:J9"/>
    <mergeCell ref="K9:M9"/>
    <mergeCell ref="C10:E10"/>
    <mergeCell ref="F10:G10"/>
    <mergeCell ref="H10:J10"/>
    <mergeCell ref="K10:M10"/>
    <mergeCell ref="B2:M2"/>
    <mergeCell ref="B7:M7"/>
    <mergeCell ref="C8:E8"/>
    <mergeCell ref="F8:G8"/>
    <mergeCell ref="H8:J8"/>
    <mergeCell ref="K8:M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4F92D-253A-4CCF-B26F-23280421F575}">
  <sheetPr>
    <tabColor rgb="FF117A65"/>
  </sheetPr>
  <dimension ref="B2:I63"/>
  <sheetViews>
    <sheetView zoomScale="59" workbookViewId="0">
      <pane ySplit="7" topLeftCell="A8" activePane="bottomLeft" state="frozen"/>
      <selection activeCell="E13" sqref="E13"/>
      <selection pane="bottomLeft" activeCell="E51" sqref="E51"/>
    </sheetView>
  </sheetViews>
  <sheetFormatPr defaultColWidth="8.7265625" defaultRowHeight="14.5" x14ac:dyDescent="0.35"/>
  <cols>
    <col min="1" max="1" width="8.7265625" style="97"/>
    <col min="2" max="4" width="6.453125" style="97" customWidth="1"/>
    <col min="5" max="5" width="41.81640625" style="97" customWidth="1"/>
    <col min="6" max="7" width="36.453125" style="97" customWidth="1"/>
    <col min="8" max="8" width="13.54296875" style="97" customWidth="1"/>
    <col min="9" max="9" width="32.7265625" style="97" customWidth="1"/>
    <col min="10" max="16384" width="8.7265625" style="97"/>
  </cols>
  <sheetData>
    <row r="2" spans="2:9" ht="18.5" x14ac:dyDescent="0.45">
      <c r="B2" s="491" t="s">
        <v>312</v>
      </c>
      <c r="C2" s="491"/>
      <c r="D2" s="491"/>
      <c r="E2" s="491"/>
      <c r="F2" s="491"/>
      <c r="G2" s="491"/>
      <c r="H2" s="491"/>
      <c r="I2" s="491"/>
    </row>
    <row r="6" spans="2:9" x14ac:dyDescent="0.35">
      <c r="B6" s="504" t="s">
        <v>313</v>
      </c>
      <c r="C6" s="505"/>
      <c r="D6" s="505"/>
      <c r="E6" s="505"/>
      <c r="F6" s="505" t="s">
        <v>314</v>
      </c>
      <c r="G6" s="505"/>
      <c r="H6" s="144" t="s">
        <v>315</v>
      </c>
      <c r="I6" s="143" t="s">
        <v>316</v>
      </c>
    </row>
    <row r="7" spans="2:9" x14ac:dyDescent="0.35">
      <c r="B7" s="142" t="s">
        <v>317</v>
      </c>
      <c r="C7" s="141" t="s">
        <v>318</v>
      </c>
      <c r="D7" s="141" t="s">
        <v>319</v>
      </c>
      <c r="E7" s="141" t="s">
        <v>320</v>
      </c>
      <c r="F7" s="141" t="s">
        <v>321</v>
      </c>
      <c r="G7" s="141" t="s">
        <v>322</v>
      </c>
      <c r="H7" s="141" t="s">
        <v>323</v>
      </c>
      <c r="I7" s="140"/>
    </row>
    <row r="8" spans="2:9" ht="29" x14ac:dyDescent="0.35">
      <c r="B8" s="137">
        <v>1</v>
      </c>
      <c r="C8" s="135"/>
      <c r="D8" s="135"/>
      <c r="E8" s="136" t="s">
        <v>324</v>
      </c>
      <c r="F8" s="135"/>
      <c r="G8" s="135"/>
      <c r="H8" s="135"/>
      <c r="I8" s="134"/>
    </row>
    <row r="9" spans="2:9" x14ac:dyDescent="0.35">
      <c r="B9" s="131">
        <v>1</v>
      </c>
      <c r="C9" s="139">
        <v>1</v>
      </c>
      <c r="D9" s="129"/>
      <c r="E9" s="130" t="s">
        <v>325</v>
      </c>
      <c r="F9" s="129"/>
      <c r="G9" s="129"/>
      <c r="H9" s="129"/>
      <c r="I9" s="128"/>
    </row>
    <row r="10" spans="2:9" ht="43.5" x14ac:dyDescent="0.35">
      <c r="B10" s="133">
        <v>1</v>
      </c>
      <c r="C10" s="132">
        <v>1</v>
      </c>
      <c r="D10" s="138">
        <v>1</v>
      </c>
      <c r="E10" s="132" t="s">
        <v>326</v>
      </c>
      <c r="F10" s="132" t="s">
        <v>327</v>
      </c>
      <c r="G10" s="132" t="s">
        <v>328</v>
      </c>
      <c r="H10" s="132" t="s">
        <v>329</v>
      </c>
      <c r="I10" s="110" t="s">
        <v>330</v>
      </c>
    </row>
    <row r="11" spans="2:9" ht="43.5" x14ac:dyDescent="0.35">
      <c r="B11" s="133">
        <v>1</v>
      </c>
      <c r="C11" s="132">
        <v>1</v>
      </c>
      <c r="D11" s="132">
        <v>2</v>
      </c>
      <c r="E11" s="132" t="s">
        <v>331</v>
      </c>
      <c r="F11" s="132" t="s">
        <v>332</v>
      </c>
      <c r="G11" s="132" t="s">
        <v>333</v>
      </c>
      <c r="H11" s="132" t="s">
        <v>334</v>
      </c>
      <c r="I11" s="110" t="s">
        <v>335</v>
      </c>
    </row>
    <row r="12" spans="2:9" ht="29" x14ac:dyDescent="0.35">
      <c r="B12" s="133">
        <v>1</v>
      </c>
      <c r="C12" s="132">
        <v>1</v>
      </c>
      <c r="D12" s="132">
        <v>3</v>
      </c>
      <c r="E12" s="132" t="s">
        <v>336</v>
      </c>
      <c r="F12" s="132" t="s">
        <v>337</v>
      </c>
      <c r="G12" s="132" t="s">
        <v>338</v>
      </c>
      <c r="H12" s="132" t="s">
        <v>339</v>
      </c>
      <c r="I12" s="110" t="s">
        <v>340</v>
      </c>
    </row>
    <row r="13" spans="2:9" ht="29" x14ac:dyDescent="0.35">
      <c r="B13" s="131">
        <v>1</v>
      </c>
      <c r="C13" s="129">
        <v>2</v>
      </c>
      <c r="D13" s="129"/>
      <c r="E13" s="130" t="s">
        <v>341</v>
      </c>
      <c r="F13" s="129"/>
      <c r="G13" s="129"/>
      <c r="H13" s="129"/>
      <c r="I13" s="128"/>
    </row>
    <row r="14" spans="2:9" ht="29" x14ac:dyDescent="0.35">
      <c r="B14" s="133">
        <v>1</v>
      </c>
      <c r="C14" s="132">
        <v>2</v>
      </c>
      <c r="D14" s="132">
        <v>1</v>
      </c>
      <c r="E14" s="132" t="s">
        <v>342</v>
      </c>
      <c r="F14" s="132" t="s">
        <v>343</v>
      </c>
      <c r="G14" s="132" t="s">
        <v>344</v>
      </c>
      <c r="H14" s="132" t="s">
        <v>345</v>
      </c>
      <c r="I14" s="110" t="s">
        <v>346</v>
      </c>
    </row>
    <row r="15" spans="2:9" ht="29" x14ac:dyDescent="0.35">
      <c r="B15" s="133">
        <v>1</v>
      </c>
      <c r="C15" s="132">
        <v>2</v>
      </c>
      <c r="D15" s="132">
        <v>2</v>
      </c>
      <c r="E15" s="132" t="s">
        <v>347</v>
      </c>
      <c r="F15" s="132" t="s">
        <v>348</v>
      </c>
      <c r="G15" s="132" t="s">
        <v>349</v>
      </c>
      <c r="H15" s="132" t="s">
        <v>350</v>
      </c>
      <c r="I15" s="110" t="s">
        <v>351</v>
      </c>
    </row>
    <row r="16" spans="2:9" ht="29" x14ac:dyDescent="0.35">
      <c r="B16" s="137">
        <v>2</v>
      </c>
      <c r="C16" s="135"/>
      <c r="D16" s="135"/>
      <c r="E16" s="136" t="s">
        <v>352</v>
      </c>
      <c r="F16" s="135"/>
      <c r="G16" s="135"/>
      <c r="H16" s="135"/>
      <c r="I16" s="134"/>
    </row>
    <row r="17" spans="2:9" x14ac:dyDescent="0.35">
      <c r="B17" s="131">
        <v>2</v>
      </c>
      <c r="C17" s="129">
        <v>1</v>
      </c>
      <c r="D17" s="129"/>
      <c r="E17" s="130" t="s">
        <v>353</v>
      </c>
      <c r="F17" s="129"/>
      <c r="G17" s="129"/>
      <c r="H17" s="129"/>
      <c r="I17" s="128"/>
    </row>
    <row r="18" spans="2:9" ht="29" x14ac:dyDescent="0.35">
      <c r="B18" s="133">
        <v>2</v>
      </c>
      <c r="C18" s="132">
        <v>1</v>
      </c>
      <c r="D18" s="132">
        <v>1</v>
      </c>
      <c r="E18" s="132" t="s">
        <v>354</v>
      </c>
      <c r="F18" s="132" t="s">
        <v>355</v>
      </c>
      <c r="G18" s="132" t="s">
        <v>356</v>
      </c>
      <c r="H18" s="132" t="s">
        <v>329</v>
      </c>
      <c r="I18" s="110" t="s">
        <v>357</v>
      </c>
    </row>
    <row r="19" spans="2:9" x14ac:dyDescent="0.35">
      <c r="B19" s="133">
        <v>2</v>
      </c>
      <c r="C19" s="132">
        <v>1</v>
      </c>
      <c r="D19" s="132">
        <v>2</v>
      </c>
      <c r="E19" s="132" t="s">
        <v>358</v>
      </c>
      <c r="F19" s="132" t="s">
        <v>359</v>
      </c>
      <c r="G19" s="132" t="s">
        <v>360</v>
      </c>
      <c r="H19" s="132" t="s">
        <v>361</v>
      </c>
      <c r="I19" s="110" t="s">
        <v>362</v>
      </c>
    </row>
    <row r="20" spans="2:9" x14ac:dyDescent="0.35">
      <c r="B20" s="133">
        <v>2</v>
      </c>
      <c r="C20" s="132">
        <v>1</v>
      </c>
      <c r="D20" s="132">
        <v>3</v>
      </c>
      <c r="E20" s="132" t="s">
        <v>363</v>
      </c>
      <c r="F20" s="132" t="s">
        <v>364</v>
      </c>
      <c r="G20" s="132" t="s">
        <v>365</v>
      </c>
      <c r="H20" s="132" t="s">
        <v>366</v>
      </c>
      <c r="I20" s="110" t="s">
        <v>367</v>
      </c>
    </row>
    <row r="21" spans="2:9" x14ac:dyDescent="0.35">
      <c r="B21" s="131">
        <v>2</v>
      </c>
      <c r="C21" s="129">
        <v>2</v>
      </c>
      <c r="D21" s="129"/>
      <c r="E21" s="130" t="s">
        <v>368</v>
      </c>
      <c r="F21" s="129"/>
      <c r="G21" s="129"/>
      <c r="H21" s="129"/>
      <c r="I21" s="128"/>
    </row>
    <row r="22" spans="2:9" ht="29" x14ac:dyDescent="0.35">
      <c r="B22" s="133">
        <v>2</v>
      </c>
      <c r="C22" s="132">
        <v>2</v>
      </c>
      <c r="D22" s="132">
        <v>1</v>
      </c>
      <c r="E22" s="132" t="s">
        <v>369</v>
      </c>
      <c r="F22" s="132" t="s">
        <v>370</v>
      </c>
      <c r="G22" s="132" t="s">
        <v>371</v>
      </c>
      <c r="H22" s="132" t="s">
        <v>345</v>
      </c>
      <c r="I22" s="110" t="s">
        <v>372</v>
      </c>
    </row>
    <row r="23" spans="2:9" ht="29" x14ac:dyDescent="0.35">
      <c r="B23" s="133">
        <v>2</v>
      </c>
      <c r="C23" s="132">
        <v>2</v>
      </c>
      <c r="D23" s="132">
        <v>2</v>
      </c>
      <c r="E23" s="132" t="s">
        <v>373</v>
      </c>
      <c r="F23" s="132" t="s">
        <v>371</v>
      </c>
      <c r="G23" s="132" t="s">
        <v>374</v>
      </c>
      <c r="H23" s="132" t="s">
        <v>375</v>
      </c>
      <c r="I23" s="110" t="s">
        <v>376</v>
      </c>
    </row>
    <row r="24" spans="2:9" x14ac:dyDescent="0.35">
      <c r="B24" s="131">
        <v>2</v>
      </c>
      <c r="C24" s="129">
        <v>3</v>
      </c>
      <c r="D24" s="129"/>
      <c r="E24" s="130" t="s">
        <v>377</v>
      </c>
      <c r="F24" s="129"/>
      <c r="G24" s="129"/>
      <c r="H24" s="129"/>
      <c r="I24" s="128"/>
    </row>
    <row r="25" spans="2:9" ht="29" x14ac:dyDescent="0.35">
      <c r="B25" s="133">
        <v>2</v>
      </c>
      <c r="C25" s="132">
        <v>3</v>
      </c>
      <c r="D25" s="132">
        <v>1</v>
      </c>
      <c r="E25" s="132" t="s">
        <v>378</v>
      </c>
      <c r="F25" s="132" t="s">
        <v>379</v>
      </c>
      <c r="G25" s="132" t="s">
        <v>380</v>
      </c>
      <c r="H25" s="132" t="s">
        <v>361</v>
      </c>
      <c r="I25" s="110" t="s">
        <v>381</v>
      </c>
    </row>
    <row r="26" spans="2:9" x14ac:dyDescent="0.35">
      <c r="B26" s="137">
        <v>3</v>
      </c>
      <c r="C26" s="135"/>
      <c r="D26" s="135"/>
      <c r="E26" s="136" t="s">
        <v>382</v>
      </c>
      <c r="F26" s="135"/>
      <c r="G26" s="135"/>
      <c r="H26" s="135"/>
      <c r="I26" s="134"/>
    </row>
    <row r="27" spans="2:9" x14ac:dyDescent="0.35">
      <c r="B27" s="131">
        <v>3</v>
      </c>
      <c r="C27" s="129">
        <v>1</v>
      </c>
      <c r="D27" s="129"/>
      <c r="E27" s="130" t="s">
        <v>383</v>
      </c>
      <c r="F27" s="129"/>
      <c r="G27" s="129"/>
      <c r="H27" s="129"/>
      <c r="I27" s="128"/>
    </row>
    <row r="28" spans="2:9" ht="29" x14ac:dyDescent="0.35">
      <c r="B28" s="133">
        <v>3</v>
      </c>
      <c r="C28" s="132">
        <v>1</v>
      </c>
      <c r="D28" s="132">
        <v>1</v>
      </c>
      <c r="E28" s="132" t="s">
        <v>384</v>
      </c>
      <c r="F28" s="132" t="s">
        <v>385</v>
      </c>
      <c r="G28" s="132" t="s">
        <v>386</v>
      </c>
      <c r="H28" s="132" t="s">
        <v>339</v>
      </c>
      <c r="I28" s="110" t="s">
        <v>387</v>
      </c>
    </row>
    <row r="29" spans="2:9" x14ac:dyDescent="0.35">
      <c r="B29" s="133">
        <v>3</v>
      </c>
      <c r="C29" s="132">
        <v>1</v>
      </c>
      <c r="D29" s="132">
        <v>2</v>
      </c>
      <c r="E29" s="132" t="s">
        <v>388</v>
      </c>
      <c r="F29" s="132" t="s">
        <v>389</v>
      </c>
      <c r="G29" s="132" t="s">
        <v>390</v>
      </c>
      <c r="H29" s="132" t="s">
        <v>391</v>
      </c>
      <c r="I29" s="110" t="s">
        <v>392</v>
      </c>
    </row>
    <row r="30" spans="2:9" x14ac:dyDescent="0.35">
      <c r="B30" s="131">
        <v>3</v>
      </c>
      <c r="C30" s="129">
        <v>2</v>
      </c>
      <c r="D30" s="129"/>
      <c r="E30" s="130" t="s">
        <v>393</v>
      </c>
      <c r="F30" s="129"/>
      <c r="G30" s="129"/>
      <c r="H30" s="129"/>
      <c r="I30" s="128"/>
    </row>
    <row r="31" spans="2:9" x14ac:dyDescent="0.35">
      <c r="B31" s="133">
        <v>3</v>
      </c>
      <c r="C31" s="132">
        <v>2</v>
      </c>
      <c r="D31" s="132">
        <v>1</v>
      </c>
      <c r="E31" s="132" t="s">
        <v>394</v>
      </c>
      <c r="F31" s="132" t="s">
        <v>395</v>
      </c>
      <c r="G31" s="132" t="s">
        <v>396</v>
      </c>
      <c r="H31" s="132" t="s">
        <v>329</v>
      </c>
      <c r="I31" s="110" t="s">
        <v>397</v>
      </c>
    </row>
    <row r="32" spans="2:9" x14ac:dyDescent="0.35">
      <c r="B32" s="133">
        <v>3</v>
      </c>
      <c r="C32" s="132">
        <v>2</v>
      </c>
      <c r="D32" s="132">
        <v>2</v>
      </c>
      <c r="E32" s="132" t="s">
        <v>398</v>
      </c>
      <c r="F32" s="132" t="s">
        <v>399</v>
      </c>
      <c r="G32" s="132" t="s">
        <v>400</v>
      </c>
      <c r="H32" s="132" t="s">
        <v>401</v>
      </c>
      <c r="I32" s="110" t="s">
        <v>402</v>
      </c>
    </row>
    <row r="33" spans="2:9" x14ac:dyDescent="0.35">
      <c r="B33" s="131">
        <v>3</v>
      </c>
      <c r="C33" s="129">
        <v>3</v>
      </c>
      <c r="D33" s="129"/>
      <c r="E33" s="130" t="s">
        <v>403</v>
      </c>
      <c r="F33" s="129"/>
      <c r="G33" s="129"/>
      <c r="H33" s="129"/>
      <c r="I33" s="128"/>
    </row>
    <row r="34" spans="2:9" ht="29" x14ac:dyDescent="0.35">
      <c r="B34" s="133">
        <v>3</v>
      </c>
      <c r="C34" s="132">
        <v>3</v>
      </c>
      <c r="D34" s="132">
        <v>1</v>
      </c>
      <c r="E34" s="132" t="s">
        <v>404</v>
      </c>
      <c r="F34" s="132" t="s">
        <v>405</v>
      </c>
      <c r="G34" s="132" t="s">
        <v>406</v>
      </c>
      <c r="H34" s="132" t="s">
        <v>407</v>
      </c>
      <c r="I34" s="110" t="s">
        <v>408</v>
      </c>
    </row>
    <row r="35" spans="2:9" x14ac:dyDescent="0.35">
      <c r="B35" s="133">
        <v>3</v>
      </c>
      <c r="C35" s="132">
        <v>3</v>
      </c>
      <c r="D35" s="132">
        <v>2</v>
      </c>
      <c r="E35" s="132" t="s">
        <v>409</v>
      </c>
      <c r="F35" s="132" t="s">
        <v>410</v>
      </c>
      <c r="G35" s="132" t="s">
        <v>411</v>
      </c>
      <c r="H35" s="132" t="s">
        <v>412</v>
      </c>
      <c r="I35" s="110" t="s">
        <v>413</v>
      </c>
    </row>
    <row r="36" spans="2:9" ht="29" x14ac:dyDescent="0.35">
      <c r="B36" s="137">
        <v>4</v>
      </c>
      <c r="C36" s="135"/>
      <c r="D36" s="135"/>
      <c r="E36" s="136" t="s">
        <v>414</v>
      </c>
      <c r="F36" s="135"/>
      <c r="G36" s="135"/>
      <c r="H36" s="135"/>
      <c r="I36" s="134"/>
    </row>
    <row r="37" spans="2:9" x14ac:dyDescent="0.35">
      <c r="B37" s="131">
        <v>4</v>
      </c>
      <c r="C37" s="129">
        <v>1</v>
      </c>
      <c r="D37" s="129"/>
      <c r="E37" s="130" t="s">
        <v>415</v>
      </c>
      <c r="F37" s="129"/>
      <c r="G37" s="129"/>
      <c r="H37" s="129"/>
      <c r="I37" s="128"/>
    </row>
    <row r="38" spans="2:9" x14ac:dyDescent="0.35">
      <c r="B38" s="133">
        <v>4</v>
      </c>
      <c r="C38" s="132">
        <v>1</v>
      </c>
      <c r="D38" s="132">
        <v>1</v>
      </c>
      <c r="E38" s="132" t="s">
        <v>416</v>
      </c>
      <c r="F38" s="132" t="s">
        <v>417</v>
      </c>
      <c r="G38" s="132" t="s">
        <v>418</v>
      </c>
      <c r="H38" s="132" t="s">
        <v>419</v>
      </c>
      <c r="I38" s="110" t="s">
        <v>420</v>
      </c>
    </row>
    <row r="39" spans="2:9" x14ac:dyDescent="0.35">
      <c r="B39" s="133">
        <v>4</v>
      </c>
      <c r="C39" s="132">
        <v>1</v>
      </c>
      <c r="D39" s="132">
        <v>2</v>
      </c>
      <c r="E39" s="132" t="s">
        <v>421</v>
      </c>
      <c r="F39" s="132" t="s">
        <v>422</v>
      </c>
      <c r="G39" s="132" t="s">
        <v>423</v>
      </c>
      <c r="H39" s="132" t="s">
        <v>424</v>
      </c>
      <c r="I39" s="110" t="s">
        <v>425</v>
      </c>
    </row>
    <row r="40" spans="2:9" x14ac:dyDescent="0.35">
      <c r="B40" s="131">
        <v>4</v>
      </c>
      <c r="C40" s="129">
        <v>2</v>
      </c>
      <c r="D40" s="129"/>
      <c r="E40" s="130" t="s">
        <v>426</v>
      </c>
      <c r="F40" s="129"/>
      <c r="G40" s="129"/>
      <c r="H40" s="129"/>
      <c r="I40" s="128"/>
    </row>
    <row r="41" spans="2:9" x14ac:dyDescent="0.35">
      <c r="B41" s="133">
        <v>4</v>
      </c>
      <c r="C41" s="132">
        <v>2</v>
      </c>
      <c r="D41" s="132">
        <v>1</v>
      </c>
      <c r="E41" s="132" t="s">
        <v>427</v>
      </c>
      <c r="F41" s="132" t="s">
        <v>428</v>
      </c>
      <c r="G41" s="132" t="s">
        <v>429</v>
      </c>
      <c r="H41" s="132" t="s">
        <v>430</v>
      </c>
      <c r="I41" s="110" t="s">
        <v>431</v>
      </c>
    </row>
    <row r="42" spans="2:9" x14ac:dyDescent="0.35">
      <c r="B42" s="133">
        <v>4</v>
      </c>
      <c r="C42" s="132">
        <v>2</v>
      </c>
      <c r="D42" s="132">
        <v>2</v>
      </c>
      <c r="E42" s="132" t="s">
        <v>432</v>
      </c>
      <c r="F42" s="132" t="s">
        <v>433</v>
      </c>
      <c r="G42" s="132" t="s">
        <v>434</v>
      </c>
      <c r="H42" s="132" t="s">
        <v>435</v>
      </c>
      <c r="I42" s="110" t="s">
        <v>436</v>
      </c>
    </row>
    <row r="43" spans="2:9" x14ac:dyDescent="0.35">
      <c r="B43" s="131">
        <v>4</v>
      </c>
      <c r="C43" s="129">
        <v>3</v>
      </c>
      <c r="D43" s="129"/>
      <c r="E43" s="130" t="s">
        <v>437</v>
      </c>
      <c r="F43" s="129"/>
      <c r="G43" s="129"/>
      <c r="H43" s="129"/>
      <c r="I43" s="128"/>
    </row>
    <row r="44" spans="2:9" x14ac:dyDescent="0.35">
      <c r="B44" s="133">
        <v>4</v>
      </c>
      <c r="C44" s="132">
        <v>3</v>
      </c>
      <c r="D44" s="132">
        <v>1</v>
      </c>
      <c r="E44" s="132" t="s">
        <v>438</v>
      </c>
      <c r="F44" s="132" t="s">
        <v>439</v>
      </c>
      <c r="G44" s="132" t="s">
        <v>440</v>
      </c>
      <c r="H44" s="132" t="s">
        <v>441</v>
      </c>
      <c r="I44" s="110" t="s">
        <v>442</v>
      </c>
    </row>
    <row r="45" spans="2:9" x14ac:dyDescent="0.35">
      <c r="B45" s="133">
        <v>4</v>
      </c>
      <c r="C45" s="132">
        <v>3</v>
      </c>
      <c r="D45" s="132">
        <v>2</v>
      </c>
      <c r="E45" s="132" t="s">
        <v>443</v>
      </c>
      <c r="F45" s="132" t="s">
        <v>444</v>
      </c>
      <c r="G45" s="132" t="s">
        <v>445</v>
      </c>
      <c r="H45" s="132" t="s">
        <v>407</v>
      </c>
      <c r="I45" s="110" t="s">
        <v>446</v>
      </c>
    </row>
    <row r="46" spans="2:9" ht="29" x14ac:dyDescent="0.35">
      <c r="B46" s="137">
        <v>5</v>
      </c>
      <c r="C46" s="135"/>
      <c r="D46" s="135"/>
      <c r="E46" s="136" t="s">
        <v>447</v>
      </c>
      <c r="F46" s="135"/>
      <c r="G46" s="135"/>
      <c r="H46" s="135"/>
      <c r="I46" s="134"/>
    </row>
    <row r="47" spans="2:9" x14ac:dyDescent="0.35">
      <c r="B47" s="131">
        <v>5</v>
      </c>
      <c r="C47" s="129">
        <v>1</v>
      </c>
      <c r="D47" s="129"/>
      <c r="E47" s="130" t="s">
        <v>448</v>
      </c>
      <c r="F47" s="129"/>
      <c r="G47" s="129"/>
      <c r="H47" s="129"/>
      <c r="I47" s="128"/>
    </row>
    <row r="48" spans="2:9" ht="29" x14ac:dyDescent="0.35">
      <c r="B48" s="133">
        <v>5</v>
      </c>
      <c r="C48" s="132">
        <v>1</v>
      </c>
      <c r="D48" s="132">
        <v>1</v>
      </c>
      <c r="E48" s="132" t="s">
        <v>449</v>
      </c>
      <c r="F48" s="132" t="s">
        <v>450</v>
      </c>
      <c r="G48" s="132" t="s">
        <v>451</v>
      </c>
      <c r="H48" s="132" t="s">
        <v>452</v>
      </c>
      <c r="I48" s="110" t="s">
        <v>453</v>
      </c>
    </row>
    <row r="49" spans="2:9" x14ac:dyDescent="0.35">
      <c r="B49" s="133">
        <v>5</v>
      </c>
      <c r="C49" s="132">
        <v>1</v>
      </c>
      <c r="D49" s="132">
        <v>2</v>
      </c>
      <c r="E49" s="132" t="s">
        <v>454</v>
      </c>
      <c r="F49" s="132" t="s">
        <v>455</v>
      </c>
      <c r="G49" s="132" t="s">
        <v>456</v>
      </c>
      <c r="H49" s="132" t="s">
        <v>457</v>
      </c>
      <c r="I49" s="110" t="s">
        <v>458</v>
      </c>
    </row>
    <row r="50" spans="2:9" x14ac:dyDescent="0.35">
      <c r="B50" s="131">
        <v>5</v>
      </c>
      <c r="C50" s="129">
        <v>2</v>
      </c>
      <c r="D50" s="129"/>
      <c r="E50" s="130" t="s">
        <v>459</v>
      </c>
      <c r="F50" s="129"/>
      <c r="G50" s="129"/>
      <c r="H50" s="129"/>
      <c r="I50" s="128"/>
    </row>
    <row r="51" spans="2:9" x14ac:dyDescent="0.35">
      <c r="B51" s="133">
        <v>5</v>
      </c>
      <c r="C51" s="132">
        <v>2</v>
      </c>
      <c r="D51" s="132">
        <v>1</v>
      </c>
      <c r="E51" s="132" t="s">
        <v>460</v>
      </c>
      <c r="F51" s="132" t="s">
        <v>461</v>
      </c>
      <c r="G51" s="132" t="s">
        <v>462</v>
      </c>
      <c r="H51" s="132" t="s">
        <v>463</v>
      </c>
      <c r="I51" s="110" t="s">
        <v>464</v>
      </c>
    </row>
    <row r="52" spans="2:9" x14ac:dyDescent="0.35">
      <c r="B52" s="133">
        <v>5</v>
      </c>
      <c r="C52" s="132">
        <v>2</v>
      </c>
      <c r="D52" s="132">
        <v>2</v>
      </c>
      <c r="E52" s="132" t="s">
        <v>465</v>
      </c>
      <c r="F52" s="132" t="s">
        <v>466</v>
      </c>
      <c r="G52" s="132" t="s">
        <v>467</v>
      </c>
      <c r="H52" s="132" t="s">
        <v>468</v>
      </c>
      <c r="I52" s="110" t="s">
        <v>469</v>
      </c>
    </row>
    <row r="53" spans="2:9" x14ac:dyDescent="0.35">
      <c r="B53" s="131">
        <v>5</v>
      </c>
      <c r="C53" s="129">
        <v>3</v>
      </c>
      <c r="D53" s="129"/>
      <c r="E53" s="130" t="s">
        <v>470</v>
      </c>
      <c r="F53" s="129"/>
      <c r="G53" s="129"/>
      <c r="H53" s="129"/>
      <c r="I53" s="128"/>
    </row>
    <row r="54" spans="2:9" x14ac:dyDescent="0.35">
      <c r="B54" s="133">
        <v>5</v>
      </c>
      <c r="C54" s="132">
        <v>3</v>
      </c>
      <c r="D54" s="132">
        <v>1</v>
      </c>
      <c r="E54" s="132" t="s">
        <v>471</v>
      </c>
      <c r="F54" s="132" t="s">
        <v>472</v>
      </c>
      <c r="G54" s="132" t="s">
        <v>473</v>
      </c>
      <c r="H54" s="132" t="s">
        <v>474</v>
      </c>
      <c r="I54" s="110" t="s">
        <v>475</v>
      </c>
    </row>
    <row r="55" spans="2:9" x14ac:dyDescent="0.35">
      <c r="B55" s="133">
        <v>5</v>
      </c>
      <c r="C55" s="132">
        <v>3</v>
      </c>
      <c r="D55" s="132">
        <v>2</v>
      </c>
      <c r="E55" s="132" t="s">
        <v>476</v>
      </c>
      <c r="F55" s="132" t="s">
        <v>477</v>
      </c>
      <c r="G55" s="132" t="s">
        <v>478</v>
      </c>
      <c r="H55" s="132" t="s">
        <v>479</v>
      </c>
      <c r="I55" s="110" t="s">
        <v>480</v>
      </c>
    </row>
    <row r="56" spans="2:9" x14ac:dyDescent="0.35">
      <c r="B56" s="131">
        <v>5</v>
      </c>
      <c r="C56" s="129">
        <v>4</v>
      </c>
      <c r="D56" s="129"/>
      <c r="E56" s="130" t="s">
        <v>481</v>
      </c>
      <c r="F56" s="129"/>
      <c r="G56" s="129"/>
      <c r="H56" s="129"/>
      <c r="I56" s="128"/>
    </row>
    <row r="57" spans="2:9" x14ac:dyDescent="0.35">
      <c r="B57" s="133">
        <v>5</v>
      </c>
      <c r="C57" s="132">
        <v>4</v>
      </c>
      <c r="D57" s="132">
        <v>1</v>
      </c>
      <c r="E57" s="132" t="s">
        <v>482</v>
      </c>
      <c r="F57" s="132" t="s">
        <v>483</v>
      </c>
      <c r="G57" s="132" t="s">
        <v>484</v>
      </c>
      <c r="H57" s="132" t="s">
        <v>407</v>
      </c>
      <c r="I57" s="110" t="s">
        <v>485</v>
      </c>
    </row>
    <row r="58" spans="2:9" x14ac:dyDescent="0.35">
      <c r="B58" s="137">
        <v>6</v>
      </c>
      <c r="C58" s="135"/>
      <c r="D58" s="135"/>
      <c r="E58" s="136" t="s">
        <v>486</v>
      </c>
      <c r="F58" s="135"/>
      <c r="G58" s="135"/>
      <c r="H58" s="135"/>
      <c r="I58" s="134"/>
    </row>
    <row r="59" spans="2:9" x14ac:dyDescent="0.35">
      <c r="B59" s="131">
        <v>6</v>
      </c>
      <c r="C59" s="129">
        <v>1</v>
      </c>
      <c r="D59" s="129"/>
      <c r="E59" s="130" t="s">
        <v>487</v>
      </c>
      <c r="F59" s="129"/>
      <c r="G59" s="129"/>
      <c r="H59" s="129"/>
      <c r="I59" s="128"/>
    </row>
    <row r="60" spans="2:9" x14ac:dyDescent="0.35">
      <c r="B60" s="133">
        <v>6</v>
      </c>
      <c r="C60" s="132">
        <v>1</v>
      </c>
      <c r="D60" s="132">
        <v>1</v>
      </c>
      <c r="E60" s="132" t="s">
        <v>488</v>
      </c>
      <c r="F60" s="132" t="s">
        <v>489</v>
      </c>
      <c r="G60" s="132" t="s">
        <v>490</v>
      </c>
      <c r="H60" s="132" t="s">
        <v>457</v>
      </c>
      <c r="I60" s="110" t="s">
        <v>491</v>
      </c>
    </row>
    <row r="61" spans="2:9" x14ac:dyDescent="0.35">
      <c r="B61" s="133">
        <v>6</v>
      </c>
      <c r="C61" s="132">
        <v>1</v>
      </c>
      <c r="D61" s="132">
        <v>2</v>
      </c>
      <c r="E61" s="132" t="s">
        <v>492</v>
      </c>
      <c r="F61" s="132" t="s">
        <v>493</v>
      </c>
      <c r="G61" s="132" t="s">
        <v>494</v>
      </c>
      <c r="H61" s="132" t="s">
        <v>495</v>
      </c>
      <c r="I61" s="110" t="s">
        <v>496</v>
      </c>
    </row>
    <row r="62" spans="2:9" x14ac:dyDescent="0.35">
      <c r="B62" s="131">
        <v>6</v>
      </c>
      <c r="C62" s="129">
        <v>2</v>
      </c>
      <c r="D62" s="129"/>
      <c r="E62" s="130" t="s">
        <v>497</v>
      </c>
      <c r="F62" s="129"/>
      <c r="G62" s="129"/>
      <c r="H62" s="129"/>
      <c r="I62" s="128"/>
    </row>
    <row r="63" spans="2:9" ht="29" x14ac:dyDescent="0.35">
      <c r="B63" s="127">
        <v>6</v>
      </c>
      <c r="C63" s="126">
        <v>2</v>
      </c>
      <c r="D63" s="126">
        <v>1</v>
      </c>
      <c r="E63" s="126" t="s">
        <v>498</v>
      </c>
      <c r="F63" s="126" t="s">
        <v>499</v>
      </c>
      <c r="G63" s="126" t="s">
        <v>500</v>
      </c>
      <c r="H63" s="126" t="s">
        <v>501</v>
      </c>
      <c r="I63" s="108" t="s">
        <v>502</v>
      </c>
    </row>
  </sheetData>
  <mergeCells count="3">
    <mergeCell ref="B2:I2"/>
    <mergeCell ref="B6:E6"/>
    <mergeCell ref="F6:G6"/>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C4ED5-4484-4DB1-B33E-05247CFEFE21}">
  <sheetPr>
    <tabColor rgb="FF117A65"/>
  </sheetPr>
  <dimension ref="B2:I52"/>
  <sheetViews>
    <sheetView zoomScale="79" workbookViewId="0">
      <pane ySplit="7" topLeftCell="A23" activePane="bottomLeft" state="frozen"/>
      <selection activeCell="E13" sqref="E13"/>
      <selection pane="bottomLeft" activeCell="F55" sqref="F55"/>
    </sheetView>
  </sheetViews>
  <sheetFormatPr defaultColWidth="8.7265625" defaultRowHeight="14.5" x14ac:dyDescent="0.35"/>
  <cols>
    <col min="1" max="1" width="8.7265625" style="97"/>
    <col min="2" max="4" width="6.453125" style="97" customWidth="1"/>
    <col min="5" max="5" width="41.81640625" style="97" customWidth="1"/>
    <col min="6" max="7" width="36.453125" style="97" customWidth="1"/>
    <col min="8" max="8" width="13.54296875" style="97" customWidth="1"/>
    <col min="9" max="9" width="32.7265625" style="97" customWidth="1"/>
    <col min="10" max="16384" width="8.7265625" style="97"/>
  </cols>
  <sheetData>
    <row r="2" spans="2:9" ht="18.5" x14ac:dyDescent="0.45">
      <c r="B2" s="491" t="s">
        <v>503</v>
      </c>
      <c r="C2" s="491"/>
      <c r="D2" s="491"/>
      <c r="E2" s="491"/>
      <c r="F2" s="491"/>
      <c r="G2" s="491"/>
      <c r="H2" s="491"/>
      <c r="I2" s="491"/>
    </row>
    <row r="6" spans="2:9" x14ac:dyDescent="0.35">
      <c r="B6" s="504" t="s">
        <v>504</v>
      </c>
      <c r="C6" s="505"/>
      <c r="D6" s="505"/>
      <c r="E6" s="505"/>
      <c r="F6" s="505" t="s">
        <v>314</v>
      </c>
      <c r="G6" s="505"/>
      <c r="H6" s="144" t="s">
        <v>315</v>
      </c>
      <c r="I6" s="143" t="s">
        <v>316</v>
      </c>
    </row>
    <row r="7" spans="2:9" x14ac:dyDescent="0.35">
      <c r="B7" s="142" t="s">
        <v>317</v>
      </c>
      <c r="C7" s="141" t="s">
        <v>318</v>
      </c>
      <c r="D7" s="141" t="s">
        <v>319</v>
      </c>
      <c r="E7" s="141" t="s">
        <v>320</v>
      </c>
      <c r="F7" s="141" t="s">
        <v>321</v>
      </c>
      <c r="G7" s="141" t="s">
        <v>322</v>
      </c>
      <c r="H7" s="141" t="s">
        <v>323</v>
      </c>
      <c r="I7" s="140"/>
    </row>
    <row r="8" spans="2:9" ht="29" x14ac:dyDescent="0.35">
      <c r="B8" s="137">
        <v>7</v>
      </c>
      <c r="C8" s="135"/>
      <c r="D8" s="135"/>
      <c r="E8" s="136" t="s">
        <v>505</v>
      </c>
      <c r="F8" s="135"/>
      <c r="G8" s="135"/>
      <c r="H8" s="135"/>
      <c r="I8" s="134"/>
    </row>
    <row r="9" spans="2:9" x14ac:dyDescent="0.35">
      <c r="B9" s="131">
        <v>7</v>
      </c>
      <c r="C9" s="129">
        <v>1</v>
      </c>
      <c r="D9" s="129"/>
      <c r="E9" s="130" t="s">
        <v>506</v>
      </c>
      <c r="F9" s="129"/>
      <c r="G9" s="129"/>
      <c r="H9" s="129"/>
      <c r="I9" s="128"/>
    </row>
    <row r="10" spans="2:9" ht="29" x14ac:dyDescent="0.35">
      <c r="B10" s="133">
        <v>7</v>
      </c>
      <c r="C10" s="132">
        <v>1</v>
      </c>
      <c r="D10" s="132">
        <v>1</v>
      </c>
      <c r="E10" s="132" t="s">
        <v>507</v>
      </c>
      <c r="F10" s="132" t="s">
        <v>508</v>
      </c>
      <c r="G10" s="132" t="s">
        <v>509</v>
      </c>
      <c r="H10" s="132" t="s">
        <v>345</v>
      </c>
      <c r="I10" s="110" t="s">
        <v>510</v>
      </c>
    </row>
    <row r="11" spans="2:9" ht="29" x14ac:dyDescent="0.35">
      <c r="B11" s="133">
        <v>7</v>
      </c>
      <c r="C11" s="132">
        <v>1</v>
      </c>
      <c r="D11" s="132">
        <v>2</v>
      </c>
      <c r="E11" s="132" t="s">
        <v>511</v>
      </c>
      <c r="F11" s="132" t="s">
        <v>512</v>
      </c>
      <c r="G11" s="132" t="s">
        <v>513</v>
      </c>
      <c r="H11" s="132" t="s">
        <v>514</v>
      </c>
      <c r="I11" s="110" t="s">
        <v>515</v>
      </c>
    </row>
    <row r="12" spans="2:9" x14ac:dyDescent="0.35">
      <c r="B12" s="131">
        <v>7</v>
      </c>
      <c r="C12" s="129">
        <v>2</v>
      </c>
      <c r="D12" s="129"/>
      <c r="E12" s="130" t="s">
        <v>516</v>
      </c>
      <c r="F12" s="129"/>
      <c r="G12" s="129"/>
      <c r="H12" s="129"/>
      <c r="I12" s="128"/>
    </row>
    <row r="13" spans="2:9" ht="29" x14ac:dyDescent="0.35">
      <c r="B13" s="133">
        <v>7</v>
      </c>
      <c r="C13" s="132">
        <v>2</v>
      </c>
      <c r="D13" s="132">
        <v>1</v>
      </c>
      <c r="E13" s="132" t="s">
        <v>517</v>
      </c>
      <c r="F13" s="132" t="s">
        <v>518</v>
      </c>
      <c r="G13" s="132" t="s">
        <v>519</v>
      </c>
      <c r="H13" s="132" t="s">
        <v>514</v>
      </c>
      <c r="I13" s="110" t="s">
        <v>520</v>
      </c>
    </row>
    <row r="14" spans="2:9" ht="29" x14ac:dyDescent="0.35">
      <c r="B14" s="133">
        <v>7</v>
      </c>
      <c r="C14" s="132">
        <v>2</v>
      </c>
      <c r="D14" s="132">
        <v>2</v>
      </c>
      <c r="E14" s="132" t="s">
        <v>521</v>
      </c>
      <c r="F14" s="132" t="s">
        <v>522</v>
      </c>
      <c r="G14" s="132" t="s">
        <v>523</v>
      </c>
      <c r="H14" s="132" t="s">
        <v>524</v>
      </c>
      <c r="I14" s="110" t="s">
        <v>525</v>
      </c>
    </row>
    <row r="15" spans="2:9" x14ac:dyDescent="0.35">
      <c r="B15" s="131">
        <v>7</v>
      </c>
      <c r="C15" s="129">
        <v>3</v>
      </c>
      <c r="D15" s="129"/>
      <c r="E15" s="130" t="s">
        <v>526</v>
      </c>
      <c r="F15" s="129"/>
      <c r="G15" s="129"/>
      <c r="H15" s="129"/>
      <c r="I15" s="128"/>
    </row>
    <row r="16" spans="2:9" x14ac:dyDescent="0.35">
      <c r="B16" s="133">
        <v>7</v>
      </c>
      <c r="C16" s="132">
        <v>3</v>
      </c>
      <c r="D16" s="132">
        <v>1</v>
      </c>
      <c r="E16" s="132" t="s">
        <v>527</v>
      </c>
      <c r="F16" s="132" t="s">
        <v>528</v>
      </c>
      <c r="G16" s="132" t="s">
        <v>529</v>
      </c>
      <c r="H16" s="132" t="s">
        <v>345</v>
      </c>
      <c r="I16" s="110" t="s">
        <v>530</v>
      </c>
    </row>
    <row r="17" spans="2:9" x14ac:dyDescent="0.35">
      <c r="B17" s="137">
        <v>8</v>
      </c>
      <c r="C17" s="135"/>
      <c r="D17" s="135"/>
      <c r="E17" s="136" t="s">
        <v>531</v>
      </c>
      <c r="F17" s="135"/>
      <c r="G17" s="135"/>
      <c r="H17" s="135"/>
      <c r="I17" s="134"/>
    </row>
    <row r="18" spans="2:9" x14ac:dyDescent="0.35">
      <c r="B18" s="131">
        <v>8</v>
      </c>
      <c r="C18" s="129">
        <v>1</v>
      </c>
      <c r="D18" s="129"/>
      <c r="E18" s="130" t="s">
        <v>532</v>
      </c>
      <c r="F18" s="129"/>
      <c r="G18" s="129"/>
      <c r="H18" s="129"/>
      <c r="I18" s="128"/>
    </row>
    <row r="19" spans="2:9" x14ac:dyDescent="0.35">
      <c r="B19" s="133">
        <v>8</v>
      </c>
      <c r="C19" s="132">
        <v>1</v>
      </c>
      <c r="D19" s="132">
        <v>1</v>
      </c>
      <c r="E19" s="132" t="s">
        <v>533</v>
      </c>
      <c r="F19" s="132" t="s">
        <v>534</v>
      </c>
      <c r="G19" s="132" t="s">
        <v>535</v>
      </c>
      <c r="H19" s="132" t="s">
        <v>536</v>
      </c>
      <c r="I19" s="110" t="s">
        <v>537</v>
      </c>
    </row>
    <row r="20" spans="2:9" x14ac:dyDescent="0.35">
      <c r="B20" s="133">
        <v>8</v>
      </c>
      <c r="C20" s="132">
        <v>1</v>
      </c>
      <c r="D20" s="132">
        <v>2</v>
      </c>
      <c r="E20" s="132" t="s">
        <v>538</v>
      </c>
      <c r="F20" s="132" t="s">
        <v>539</v>
      </c>
      <c r="G20" s="132" t="s">
        <v>540</v>
      </c>
      <c r="H20" s="132" t="s">
        <v>536</v>
      </c>
      <c r="I20" s="110" t="s">
        <v>541</v>
      </c>
    </row>
    <row r="21" spans="2:9" x14ac:dyDescent="0.35">
      <c r="B21" s="131">
        <v>8</v>
      </c>
      <c r="C21" s="129">
        <v>2</v>
      </c>
      <c r="D21" s="129"/>
      <c r="E21" s="130" t="s">
        <v>542</v>
      </c>
      <c r="F21" s="129"/>
      <c r="G21" s="129"/>
      <c r="H21" s="129"/>
      <c r="I21" s="128"/>
    </row>
    <row r="22" spans="2:9" x14ac:dyDescent="0.35">
      <c r="B22" s="133">
        <v>8</v>
      </c>
      <c r="C22" s="132">
        <v>2</v>
      </c>
      <c r="D22" s="132">
        <v>1</v>
      </c>
      <c r="E22" s="132" t="s">
        <v>543</v>
      </c>
      <c r="F22" s="132" t="s">
        <v>544</v>
      </c>
      <c r="G22" s="132" t="s">
        <v>545</v>
      </c>
      <c r="H22" s="132" t="s">
        <v>524</v>
      </c>
      <c r="I22" s="110" t="s">
        <v>546</v>
      </c>
    </row>
    <row r="23" spans="2:9" x14ac:dyDescent="0.35">
      <c r="B23" s="133">
        <v>8</v>
      </c>
      <c r="C23" s="132">
        <v>2</v>
      </c>
      <c r="D23" s="132">
        <v>2</v>
      </c>
      <c r="E23" s="132" t="s">
        <v>547</v>
      </c>
      <c r="F23" s="132" t="s">
        <v>548</v>
      </c>
      <c r="G23" s="132" t="s">
        <v>549</v>
      </c>
      <c r="H23" s="132" t="s">
        <v>550</v>
      </c>
      <c r="I23" s="110" t="s">
        <v>551</v>
      </c>
    </row>
    <row r="24" spans="2:9" x14ac:dyDescent="0.35">
      <c r="B24" s="137">
        <v>9</v>
      </c>
      <c r="C24" s="135"/>
      <c r="D24" s="135"/>
      <c r="E24" s="136" t="s">
        <v>552</v>
      </c>
      <c r="F24" s="135"/>
      <c r="G24" s="135"/>
      <c r="H24" s="135"/>
      <c r="I24" s="134"/>
    </row>
    <row r="25" spans="2:9" x14ac:dyDescent="0.35">
      <c r="B25" s="131">
        <v>9</v>
      </c>
      <c r="C25" s="129">
        <v>1</v>
      </c>
      <c r="D25" s="129"/>
      <c r="E25" s="130" t="s">
        <v>553</v>
      </c>
      <c r="F25" s="129"/>
      <c r="G25" s="129"/>
      <c r="H25" s="129"/>
      <c r="I25" s="128"/>
    </row>
    <row r="26" spans="2:9" x14ac:dyDescent="0.35">
      <c r="B26" s="133">
        <v>9</v>
      </c>
      <c r="C26" s="132">
        <v>1</v>
      </c>
      <c r="D26" s="132">
        <v>1</v>
      </c>
      <c r="E26" s="132" t="s">
        <v>554</v>
      </c>
      <c r="F26" s="132" t="s">
        <v>555</v>
      </c>
      <c r="G26" s="132" t="s">
        <v>556</v>
      </c>
      <c r="H26" s="132" t="s">
        <v>457</v>
      </c>
      <c r="I26" s="110" t="s">
        <v>557</v>
      </c>
    </row>
    <row r="27" spans="2:9" x14ac:dyDescent="0.35">
      <c r="B27" s="133">
        <v>9</v>
      </c>
      <c r="C27" s="132">
        <v>1</v>
      </c>
      <c r="D27" s="132">
        <v>2</v>
      </c>
      <c r="E27" s="132" t="s">
        <v>558</v>
      </c>
      <c r="F27" s="132" t="s">
        <v>559</v>
      </c>
      <c r="G27" s="132" t="s">
        <v>560</v>
      </c>
      <c r="H27" s="132" t="s">
        <v>561</v>
      </c>
      <c r="I27" s="110" t="s">
        <v>562</v>
      </c>
    </row>
    <row r="28" spans="2:9" x14ac:dyDescent="0.35">
      <c r="B28" s="131">
        <v>9</v>
      </c>
      <c r="C28" s="129">
        <v>2</v>
      </c>
      <c r="D28" s="129"/>
      <c r="E28" s="130" t="s">
        <v>563</v>
      </c>
      <c r="F28" s="129"/>
      <c r="G28" s="129"/>
      <c r="H28" s="129"/>
      <c r="I28" s="128"/>
    </row>
    <row r="29" spans="2:9" ht="29" x14ac:dyDescent="0.35">
      <c r="B29" s="133">
        <v>9</v>
      </c>
      <c r="C29" s="132">
        <v>2</v>
      </c>
      <c r="D29" s="132">
        <v>1</v>
      </c>
      <c r="E29" s="132" t="s">
        <v>564</v>
      </c>
      <c r="F29" s="132" t="s">
        <v>565</v>
      </c>
      <c r="G29" s="132" t="s">
        <v>566</v>
      </c>
      <c r="H29" s="132" t="s">
        <v>567</v>
      </c>
      <c r="I29" s="110" t="s">
        <v>568</v>
      </c>
    </row>
    <row r="30" spans="2:9" x14ac:dyDescent="0.35">
      <c r="B30" s="133">
        <v>9</v>
      </c>
      <c r="C30" s="132">
        <v>2</v>
      </c>
      <c r="D30" s="132">
        <v>2</v>
      </c>
      <c r="E30" s="132" t="s">
        <v>569</v>
      </c>
      <c r="F30" s="132" t="s">
        <v>570</v>
      </c>
      <c r="G30" s="132" t="s">
        <v>571</v>
      </c>
      <c r="H30" s="132" t="s">
        <v>572</v>
      </c>
      <c r="I30" s="110" t="s">
        <v>573</v>
      </c>
    </row>
    <row r="31" spans="2:9" x14ac:dyDescent="0.35">
      <c r="B31" s="137">
        <v>10</v>
      </c>
      <c r="C31" s="135"/>
      <c r="D31" s="135"/>
      <c r="E31" s="136" t="s">
        <v>574</v>
      </c>
      <c r="F31" s="135"/>
      <c r="G31" s="135"/>
      <c r="H31" s="135"/>
      <c r="I31" s="134"/>
    </row>
    <row r="32" spans="2:9" x14ac:dyDescent="0.35">
      <c r="B32" s="131">
        <v>10</v>
      </c>
      <c r="C32" s="129">
        <v>1</v>
      </c>
      <c r="D32" s="129"/>
      <c r="E32" s="130" t="s">
        <v>575</v>
      </c>
      <c r="F32" s="129"/>
      <c r="G32" s="129"/>
      <c r="H32" s="129"/>
      <c r="I32" s="128"/>
    </row>
    <row r="33" spans="2:9" x14ac:dyDescent="0.35">
      <c r="B33" s="133">
        <v>10</v>
      </c>
      <c r="C33" s="132">
        <v>1</v>
      </c>
      <c r="D33" s="132">
        <v>1</v>
      </c>
      <c r="E33" s="132" t="s">
        <v>576</v>
      </c>
      <c r="F33" s="132" t="s">
        <v>577</v>
      </c>
      <c r="G33" s="132" t="s">
        <v>578</v>
      </c>
      <c r="H33" s="132" t="s">
        <v>441</v>
      </c>
      <c r="I33" s="110" t="s">
        <v>579</v>
      </c>
    </row>
    <row r="34" spans="2:9" x14ac:dyDescent="0.35">
      <c r="B34" s="133">
        <v>10</v>
      </c>
      <c r="C34" s="132">
        <v>1</v>
      </c>
      <c r="D34" s="132">
        <v>2</v>
      </c>
      <c r="E34" s="132" t="s">
        <v>580</v>
      </c>
      <c r="F34" s="132" t="s">
        <v>581</v>
      </c>
      <c r="G34" s="132" t="s">
        <v>582</v>
      </c>
      <c r="H34" s="132" t="s">
        <v>468</v>
      </c>
      <c r="I34" s="110" t="s">
        <v>583</v>
      </c>
    </row>
    <row r="35" spans="2:9" x14ac:dyDescent="0.35">
      <c r="B35" s="131">
        <v>10</v>
      </c>
      <c r="C35" s="129">
        <v>2</v>
      </c>
      <c r="D35" s="129"/>
      <c r="E35" s="130" t="s">
        <v>584</v>
      </c>
      <c r="F35" s="129"/>
      <c r="G35" s="129"/>
      <c r="H35" s="129"/>
      <c r="I35" s="128"/>
    </row>
    <row r="36" spans="2:9" x14ac:dyDescent="0.35">
      <c r="B36" s="133">
        <v>10</v>
      </c>
      <c r="C36" s="132">
        <v>2</v>
      </c>
      <c r="D36" s="132">
        <v>1</v>
      </c>
      <c r="E36" s="132" t="s">
        <v>585</v>
      </c>
      <c r="F36" s="132" t="s">
        <v>586</v>
      </c>
      <c r="G36" s="132" t="s">
        <v>587</v>
      </c>
      <c r="H36" s="132" t="s">
        <v>457</v>
      </c>
      <c r="I36" s="110" t="s">
        <v>588</v>
      </c>
    </row>
    <row r="37" spans="2:9" x14ac:dyDescent="0.35">
      <c r="B37" s="137">
        <v>11</v>
      </c>
      <c r="C37" s="135"/>
      <c r="D37" s="135"/>
      <c r="E37" s="136" t="s">
        <v>589</v>
      </c>
      <c r="F37" s="135"/>
      <c r="G37" s="135"/>
      <c r="H37" s="135"/>
      <c r="I37" s="134"/>
    </row>
    <row r="38" spans="2:9" x14ac:dyDescent="0.35">
      <c r="B38" s="131">
        <v>11</v>
      </c>
      <c r="C38" s="129">
        <v>1</v>
      </c>
      <c r="D38" s="129"/>
      <c r="E38" s="130" t="s">
        <v>590</v>
      </c>
      <c r="F38" s="129"/>
      <c r="G38" s="129"/>
      <c r="H38" s="129"/>
      <c r="I38" s="128"/>
    </row>
    <row r="39" spans="2:9" x14ac:dyDescent="0.35">
      <c r="B39" s="133">
        <v>11</v>
      </c>
      <c r="C39" s="132">
        <v>1</v>
      </c>
      <c r="D39" s="132">
        <v>1</v>
      </c>
      <c r="E39" s="132" t="s">
        <v>591</v>
      </c>
      <c r="F39" s="132" t="s">
        <v>592</v>
      </c>
      <c r="G39" s="132" t="s">
        <v>593</v>
      </c>
      <c r="H39" s="132" t="s">
        <v>457</v>
      </c>
      <c r="I39" s="110" t="s">
        <v>594</v>
      </c>
    </row>
    <row r="40" spans="2:9" x14ac:dyDescent="0.35">
      <c r="B40" s="133">
        <v>11</v>
      </c>
      <c r="C40" s="132">
        <v>1</v>
      </c>
      <c r="D40" s="132">
        <v>2</v>
      </c>
      <c r="E40" s="132" t="s">
        <v>595</v>
      </c>
      <c r="F40" s="132" t="s">
        <v>596</v>
      </c>
      <c r="G40" s="132" t="s">
        <v>597</v>
      </c>
      <c r="H40" s="132" t="s">
        <v>598</v>
      </c>
      <c r="I40" s="110" t="s">
        <v>599</v>
      </c>
    </row>
    <row r="41" spans="2:9" x14ac:dyDescent="0.35">
      <c r="B41" s="133">
        <v>11</v>
      </c>
      <c r="C41" s="132">
        <v>1</v>
      </c>
      <c r="D41" s="132">
        <v>3</v>
      </c>
      <c r="E41" s="132" t="s">
        <v>600</v>
      </c>
      <c r="F41" s="132" t="s">
        <v>601</v>
      </c>
      <c r="G41" s="132" t="s">
        <v>602</v>
      </c>
      <c r="H41" s="132" t="s">
        <v>603</v>
      </c>
      <c r="I41" s="110" t="s">
        <v>604</v>
      </c>
    </row>
    <row r="42" spans="2:9" x14ac:dyDescent="0.35">
      <c r="B42" s="131">
        <v>11</v>
      </c>
      <c r="C42" s="129">
        <v>2</v>
      </c>
      <c r="D42" s="129"/>
      <c r="E42" s="130" t="s">
        <v>605</v>
      </c>
      <c r="F42" s="129"/>
      <c r="G42" s="129"/>
      <c r="H42" s="129"/>
      <c r="I42" s="128"/>
    </row>
    <row r="43" spans="2:9" x14ac:dyDescent="0.35">
      <c r="B43" s="133">
        <v>11</v>
      </c>
      <c r="C43" s="132">
        <v>2</v>
      </c>
      <c r="D43" s="132">
        <v>1</v>
      </c>
      <c r="E43" s="132" t="s">
        <v>606</v>
      </c>
      <c r="F43" s="132" t="s">
        <v>607</v>
      </c>
      <c r="G43" s="132" t="s">
        <v>608</v>
      </c>
      <c r="H43" s="132" t="s">
        <v>550</v>
      </c>
      <c r="I43" s="110" t="s">
        <v>609</v>
      </c>
    </row>
    <row r="44" spans="2:9" x14ac:dyDescent="0.35">
      <c r="B44" s="133">
        <v>11</v>
      </c>
      <c r="C44" s="132">
        <v>2</v>
      </c>
      <c r="D44" s="132">
        <v>2</v>
      </c>
      <c r="E44" s="132" t="s">
        <v>610</v>
      </c>
      <c r="F44" s="132" t="s">
        <v>611</v>
      </c>
      <c r="G44" s="132" t="s">
        <v>612</v>
      </c>
      <c r="H44" s="132" t="s">
        <v>613</v>
      </c>
      <c r="I44" s="110" t="s">
        <v>614</v>
      </c>
    </row>
    <row r="45" spans="2:9" x14ac:dyDescent="0.35">
      <c r="B45" s="137">
        <v>12</v>
      </c>
      <c r="C45" s="135"/>
      <c r="D45" s="135"/>
      <c r="E45" s="136" t="s">
        <v>615</v>
      </c>
      <c r="F45" s="135"/>
      <c r="G45" s="135"/>
      <c r="H45" s="135"/>
      <c r="I45" s="134"/>
    </row>
    <row r="46" spans="2:9" x14ac:dyDescent="0.35">
      <c r="B46" s="131">
        <v>12</v>
      </c>
      <c r="C46" s="129">
        <v>1</v>
      </c>
      <c r="D46" s="129"/>
      <c r="E46" s="130" t="s">
        <v>616</v>
      </c>
      <c r="F46" s="129"/>
      <c r="G46" s="129"/>
      <c r="H46" s="129"/>
      <c r="I46" s="128"/>
    </row>
    <row r="47" spans="2:9" ht="29" x14ac:dyDescent="0.35">
      <c r="B47" s="133">
        <v>12</v>
      </c>
      <c r="C47" s="132">
        <v>1</v>
      </c>
      <c r="D47" s="132">
        <v>1</v>
      </c>
      <c r="E47" s="132" t="s">
        <v>617</v>
      </c>
      <c r="F47" s="132" t="s">
        <v>618</v>
      </c>
      <c r="G47" s="132" t="s">
        <v>619</v>
      </c>
      <c r="H47" s="132" t="s">
        <v>620</v>
      </c>
      <c r="I47" s="110" t="s">
        <v>621</v>
      </c>
    </row>
    <row r="48" spans="2:9" x14ac:dyDescent="0.35">
      <c r="B48" s="133">
        <v>12</v>
      </c>
      <c r="C48" s="132">
        <v>1</v>
      </c>
      <c r="D48" s="132">
        <v>2</v>
      </c>
      <c r="E48" s="132" t="s">
        <v>622</v>
      </c>
      <c r="F48" s="132" t="s">
        <v>623</v>
      </c>
      <c r="G48" s="132" t="s">
        <v>624</v>
      </c>
      <c r="H48" s="132" t="s">
        <v>603</v>
      </c>
      <c r="I48" s="110" t="s">
        <v>625</v>
      </c>
    </row>
    <row r="49" spans="2:9" x14ac:dyDescent="0.35">
      <c r="B49" s="131">
        <v>12</v>
      </c>
      <c r="C49" s="129">
        <v>2</v>
      </c>
      <c r="D49" s="129"/>
      <c r="E49" s="130" t="s">
        <v>626</v>
      </c>
      <c r="F49" s="129"/>
      <c r="G49" s="129"/>
      <c r="H49" s="129"/>
      <c r="I49" s="128"/>
    </row>
    <row r="50" spans="2:9" x14ac:dyDescent="0.35">
      <c r="B50" s="133">
        <v>12</v>
      </c>
      <c r="C50" s="132">
        <v>2</v>
      </c>
      <c r="D50" s="132">
        <v>1</v>
      </c>
      <c r="E50" s="132" t="s">
        <v>627</v>
      </c>
      <c r="F50" s="132" t="s">
        <v>628</v>
      </c>
      <c r="G50" s="132" t="s">
        <v>629</v>
      </c>
      <c r="H50" s="132" t="s">
        <v>630</v>
      </c>
      <c r="I50" s="110" t="s">
        <v>631</v>
      </c>
    </row>
    <row r="51" spans="2:9" ht="29" x14ac:dyDescent="0.35">
      <c r="B51" s="137">
        <v>13</v>
      </c>
      <c r="C51" s="135"/>
      <c r="D51" s="135"/>
      <c r="E51" s="136" t="s">
        <v>632</v>
      </c>
      <c r="F51" s="135"/>
      <c r="G51" s="135"/>
      <c r="H51" s="135"/>
      <c r="I51" s="134"/>
    </row>
    <row r="52" spans="2:9" ht="29" x14ac:dyDescent="0.35">
      <c r="B52" s="149">
        <v>13</v>
      </c>
      <c r="C52" s="147">
        <v>1</v>
      </c>
      <c r="D52" s="147"/>
      <c r="E52" s="148" t="s">
        <v>633</v>
      </c>
      <c r="F52" s="147" t="s">
        <v>329</v>
      </c>
      <c r="G52" s="147" t="s">
        <v>329</v>
      </c>
      <c r="H52" s="147" t="s">
        <v>329</v>
      </c>
      <c r="I52" s="146" t="s">
        <v>634</v>
      </c>
    </row>
  </sheetData>
  <mergeCells count="3">
    <mergeCell ref="B2:I2"/>
    <mergeCell ref="B6:E6"/>
    <mergeCell ref="F6:G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E7861-4085-4885-B58F-5053A2172E54}">
  <sheetPr>
    <tabColor rgb="FF117A65"/>
  </sheetPr>
  <dimension ref="B2:N25"/>
  <sheetViews>
    <sheetView workbookViewId="0">
      <pane ySplit="7" topLeftCell="A8" activePane="bottomLeft" state="frozen"/>
      <selection activeCell="E13" sqref="E13"/>
      <selection pane="bottomLeft" activeCell="B2" sqref="B2:N2"/>
    </sheetView>
  </sheetViews>
  <sheetFormatPr defaultColWidth="8.7265625" defaultRowHeight="14.5" x14ac:dyDescent="0.35"/>
  <cols>
    <col min="1" max="1" width="8.7265625" style="97"/>
    <col min="2" max="2" width="6.453125" style="97" customWidth="1"/>
    <col min="3" max="3" width="10" style="97" customWidth="1"/>
    <col min="4" max="6" width="10.81640625" style="97" customWidth="1"/>
    <col min="7" max="7" width="10" style="97" customWidth="1"/>
    <col min="8" max="10" width="10.81640625" style="97" customWidth="1"/>
    <col min="11" max="14" width="16.453125" style="97" customWidth="1"/>
    <col min="15" max="16384" width="8.7265625" style="97"/>
  </cols>
  <sheetData>
    <row r="2" spans="2:14" ht="18.5" x14ac:dyDescent="0.45">
      <c r="B2" s="491" t="s">
        <v>5257</v>
      </c>
      <c r="C2" s="491"/>
      <c r="D2" s="491"/>
      <c r="E2" s="491"/>
      <c r="F2" s="491"/>
      <c r="G2" s="491"/>
      <c r="H2" s="491"/>
      <c r="I2" s="491"/>
      <c r="J2" s="491"/>
      <c r="K2" s="491"/>
      <c r="L2" s="491"/>
      <c r="M2" s="491"/>
      <c r="N2" s="491"/>
    </row>
    <row r="3" spans="2:14" x14ac:dyDescent="0.35">
      <c r="B3" s="506" t="s">
        <v>635</v>
      </c>
      <c r="C3" s="506"/>
      <c r="D3" s="506"/>
      <c r="E3" s="506"/>
      <c r="F3" s="506"/>
      <c r="G3" s="506"/>
      <c r="H3" s="506"/>
      <c r="I3" s="506"/>
      <c r="J3" s="506"/>
      <c r="K3" s="506"/>
      <c r="L3" s="506"/>
      <c r="M3" s="506"/>
      <c r="N3" s="506"/>
    </row>
    <row r="6" spans="2:14" x14ac:dyDescent="0.35">
      <c r="B6" s="145" t="s">
        <v>275</v>
      </c>
      <c r="C6" s="505" t="s">
        <v>636</v>
      </c>
      <c r="D6" s="505"/>
      <c r="E6" s="505"/>
      <c r="F6" s="505"/>
      <c r="G6" s="505" t="s">
        <v>637</v>
      </c>
      <c r="H6" s="505"/>
      <c r="I6" s="505"/>
      <c r="J6" s="505"/>
      <c r="K6" s="507" t="s">
        <v>638</v>
      </c>
      <c r="L6" s="507"/>
      <c r="M6" s="507" t="s">
        <v>639</v>
      </c>
      <c r="N6" s="508"/>
    </row>
    <row r="7" spans="2:14" x14ac:dyDescent="0.35">
      <c r="B7" s="133"/>
      <c r="C7" s="141" t="s">
        <v>640</v>
      </c>
      <c r="D7" s="509" t="s">
        <v>641</v>
      </c>
      <c r="E7" s="509"/>
      <c r="F7" s="509"/>
      <c r="G7" s="141" t="s">
        <v>640</v>
      </c>
      <c r="H7" s="509" t="s">
        <v>642</v>
      </c>
      <c r="I7" s="509"/>
      <c r="J7" s="509"/>
      <c r="K7" s="510"/>
      <c r="L7" s="510"/>
      <c r="M7" s="510"/>
      <c r="N7" s="511"/>
    </row>
    <row r="8" spans="2:14" x14ac:dyDescent="0.35">
      <c r="B8" s="152">
        <v>1</v>
      </c>
      <c r="C8" s="138" t="s">
        <v>643</v>
      </c>
      <c r="D8" s="510" t="s">
        <v>416</v>
      </c>
      <c r="E8" s="510"/>
      <c r="F8" s="510"/>
      <c r="G8" s="138" t="s">
        <v>644</v>
      </c>
      <c r="H8" s="510" t="s">
        <v>645</v>
      </c>
      <c r="I8" s="510"/>
      <c r="J8" s="510"/>
      <c r="K8" s="510" t="s">
        <v>646</v>
      </c>
      <c r="L8" s="510"/>
      <c r="M8" s="510" t="s">
        <v>647</v>
      </c>
      <c r="N8" s="511"/>
    </row>
    <row r="9" spans="2:14" x14ac:dyDescent="0.35">
      <c r="B9" s="152">
        <v>2</v>
      </c>
      <c r="C9" s="138" t="s">
        <v>430</v>
      </c>
      <c r="D9" s="510" t="s">
        <v>648</v>
      </c>
      <c r="E9" s="510"/>
      <c r="F9" s="510"/>
      <c r="G9" s="138" t="s">
        <v>643</v>
      </c>
      <c r="H9" s="510" t="s">
        <v>416</v>
      </c>
      <c r="I9" s="510"/>
      <c r="J9" s="510"/>
      <c r="K9" s="510" t="s">
        <v>418</v>
      </c>
      <c r="L9" s="510"/>
      <c r="M9" s="510" t="s">
        <v>649</v>
      </c>
      <c r="N9" s="511"/>
    </row>
    <row r="10" spans="2:14" x14ac:dyDescent="0.35">
      <c r="B10" s="152">
        <v>3</v>
      </c>
      <c r="C10" s="138" t="s">
        <v>650</v>
      </c>
      <c r="D10" s="510" t="s">
        <v>651</v>
      </c>
      <c r="E10" s="510"/>
      <c r="F10" s="510"/>
      <c r="G10" s="138" t="s">
        <v>430</v>
      </c>
      <c r="H10" s="510" t="s">
        <v>652</v>
      </c>
      <c r="I10" s="510"/>
      <c r="J10" s="510"/>
      <c r="K10" s="510" t="s">
        <v>653</v>
      </c>
      <c r="L10" s="510"/>
      <c r="M10" s="510" t="s">
        <v>654</v>
      </c>
      <c r="N10" s="511"/>
    </row>
    <row r="11" spans="2:14" x14ac:dyDescent="0.35">
      <c r="B11" s="152">
        <v>4</v>
      </c>
      <c r="C11" s="138" t="s">
        <v>441</v>
      </c>
      <c r="D11" s="510" t="s">
        <v>432</v>
      </c>
      <c r="E11" s="510"/>
      <c r="F11" s="510"/>
      <c r="G11" s="138" t="s">
        <v>650</v>
      </c>
      <c r="H11" s="510" t="s">
        <v>655</v>
      </c>
      <c r="I11" s="510"/>
      <c r="J11" s="510"/>
      <c r="K11" s="510" t="s">
        <v>656</v>
      </c>
      <c r="L11" s="510"/>
      <c r="M11" s="510" t="s">
        <v>657</v>
      </c>
      <c r="N11" s="511"/>
    </row>
    <row r="12" spans="2:14" x14ac:dyDescent="0.35">
      <c r="B12" s="152">
        <v>5</v>
      </c>
      <c r="C12" s="138" t="s">
        <v>658</v>
      </c>
      <c r="D12" s="510" t="s">
        <v>659</v>
      </c>
      <c r="E12" s="510"/>
      <c r="F12" s="510"/>
      <c r="G12" s="138" t="s">
        <v>441</v>
      </c>
      <c r="H12" s="510" t="s">
        <v>660</v>
      </c>
      <c r="I12" s="510"/>
      <c r="J12" s="510"/>
      <c r="K12" s="510" t="s">
        <v>661</v>
      </c>
      <c r="L12" s="510"/>
      <c r="M12" s="510" t="s">
        <v>662</v>
      </c>
      <c r="N12" s="511"/>
    </row>
    <row r="13" spans="2:14" x14ac:dyDescent="0.35">
      <c r="B13" s="152">
        <v>6</v>
      </c>
      <c r="C13" s="138" t="s">
        <v>457</v>
      </c>
      <c r="D13" s="510" t="s">
        <v>663</v>
      </c>
      <c r="E13" s="510"/>
      <c r="F13" s="510"/>
      <c r="G13" s="138" t="s">
        <v>658</v>
      </c>
      <c r="H13" s="510" t="s">
        <v>659</v>
      </c>
      <c r="I13" s="510"/>
      <c r="J13" s="510"/>
      <c r="K13" s="510" t="s">
        <v>664</v>
      </c>
      <c r="L13" s="510"/>
      <c r="M13" s="510" t="s">
        <v>665</v>
      </c>
      <c r="N13" s="511"/>
    </row>
    <row r="14" spans="2:14" x14ac:dyDescent="0.35">
      <c r="B14" s="152">
        <v>7</v>
      </c>
      <c r="C14" s="138" t="s">
        <v>407</v>
      </c>
      <c r="D14" s="510" t="s">
        <v>666</v>
      </c>
      <c r="E14" s="510"/>
      <c r="F14" s="510"/>
      <c r="G14" s="138" t="s">
        <v>468</v>
      </c>
      <c r="H14" s="510" t="s">
        <v>460</v>
      </c>
      <c r="I14" s="510"/>
      <c r="J14" s="510"/>
      <c r="K14" s="510" t="s">
        <v>667</v>
      </c>
      <c r="L14" s="510"/>
      <c r="M14" s="510" t="s">
        <v>668</v>
      </c>
      <c r="N14" s="511"/>
    </row>
    <row r="15" spans="2:14" x14ac:dyDescent="0.35">
      <c r="B15" s="152">
        <v>8</v>
      </c>
      <c r="C15" s="138" t="s">
        <v>479</v>
      </c>
      <c r="D15" s="510" t="s">
        <v>471</v>
      </c>
      <c r="E15" s="510"/>
      <c r="F15" s="510"/>
      <c r="G15" s="138" t="s">
        <v>407</v>
      </c>
      <c r="H15" s="510" t="s">
        <v>666</v>
      </c>
      <c r="I15" s="510"/>
      <c r="J15" s="510"/>
      <c r="K15" s="510" t="s">
        <v>669</v>
      </c>
      <c r="L15" s="510"/>
      <c r="M15" s="510" t="s">
        <v>670</v>
      </c>
      <c r="N15" s="511"/>
    </row>
    <row r="16" spans="2:14" x14ac:dyDescent="0.35">
      <c r="B16" s="152">
        <v>9</v>
      </c>
      <c r="C16" s="138" t="s">
        <v>620</v>
      </c>
      <c r="D16" s="510" t="s">
        <v>600</v>
      </c>
      <c r="E16" s="510"/>
      <c r="F16" s="510"/>
      <c r="G16" s="138" t="s">
        <v>407</v>
      </c>
      <c r="H16" s="510" t="s">
        <v>666</v>
      </c>
      <c r="I16" s="510"/>
      <c r="J16" s="510"/>
      <c r="K16" s="510" t="s">
        <v>671</v>
      </c>
      <c r="L16" s="510"/>
      <c r="M16" s="510" t="s">
        <v>672</v>
      </c>
      <c r="N16" s="511"/>
    </row>
    <row r="17" spans="2:14" x14ac:dyDescent="0.35">
      <c r="B17" s="152">
        <v>10</v>
      </c>
      <c r="C17" s="138" t="s">
        <v>673</v>
      </c>
      <c r="D17" s="510" t="s">
        <v>674</v>
      </c>
      <c r="E17" s="510"/>
      <c r="F17" s="510"/>
      <c r="G17" s="138" t="s">
        <v>457</v>
      </c>
      <c r="H17" s="510" t="s">
        <v>663</v>
      </c>
      <c r="I17" s="510"/>
      <c r="J17" s="510"/>
      <c r="K17" s="510" t="s">
        <v>675</v>
      </c>
      <c r="L17" s="510"/>
      <c r="M17" s="510" t="s">
        <v>676</v>
      </c>
      <c r="N17" s="511"/>
    </row>
    <row r="18" spans="2:14" x14ac:dyDescent="0.35">
      <c r="B18" s="152">
        <v>11</v>
      </c>
      <c r="C18" s="138" t="s">
        <v>677</v>
      </c>
      <c r="D18" s="510" t="s">
        <v>558</v>
      </c>
      <c r="E18" s="510"/>
      <c r="F18" s="510"/>
      <c r="G18" s="138" t="s">
        <v>457</v>
      </c>
      <c r="H18" s="510" t="s">
        <v>663</v>
      </c>
      <c r="I18" s="510"/>
      <c r="J18" s="510"/>
      <c r="K18" s="510" t="s">
        <v>678</v>
      </c>
      <c r="L18" s="510"/>
      <c r="M18" s="510" t="s">
        <v>679</v>
      </c>
      <c r="N18" s="511"/>
    </row>
    <row r="19" spans="2:14" x14ac:dyDescent="0.35">
      <c r="B19" s="152">
        <v>12</v>
      </c>
      <c r="C19" s="138" t="s">
        <v>680</v>
      </c>
      <c r="D19" s="510" t="s">
        <v>681</v>
      </c>
      <c r="E19" s="510"/>
      <c r="F19" s="510"/>
      <c r="G19" s="138" t="s">
        <v>682</v>
      </c>
      <c r="H19" s="510" t="s">
        <v>683</v>
      </c>
      <c r="I19" s="510"/>
      <c r="J19" s="510"/>
      <c r="K19" s="510" t="s">
        <v>684</v>
      </c>
      <c r="L19" s="510"/>
      <c r="M19" s="510" t="s">
        <v>685</v>
      </c>
      <c r="N19" s="511"/>
    </row>
    <row r="20" spans="2:14" x14ac:dyDescent="0.35">
      <c r="B20" s="152">
        <v>13</v>
      </c>
      <c r="C20" s="138" t="s">
        <v>345</v>
      </c>
      <c r="D20" s="510" t="s">
        <v>686</v>
      </c>
      <c r="E20" s="510"/>
      <c r="F20" s="510"/>
      <c r="G20" s="138" t="s">
        <v>339</v>
      </c>
      <c r="H20" s="510" t="s">
        <v>687</v>
      </c>
      <c r="I20" s="510"/>
      <c r="J20" s="510"/>
      <c r="K20" s="510" t="s">
        <v>688</v>
      </c>
      <c r="L20" s="510"/>
      <c r="M20" s="510" t="s">
        <v>689</v>
      </c>
      <c r="N20" s="511"/>
    </row>
    <row r="21" spans="2:14" x14ac:dyDescent="0.35">
      <c r="B21" s="152">
        <v>14</v>
      </c>
      <c r="C21" s="138" t="s">
        <v>690</v>
      </c>
      <c r="D21" s="510" t="s">
        <v>691</v>
      </c>
      <c r="E21" s="510"/>
      <c r="F21" s="510"/>
      <c r="G21" s="138" t="s">
        <v>692</v>
      </c>
      <c r="H21" s="510" t="s">
        <v>693</v>
      </c>
      <c r="I21" s="510"/>
      <c r="J21" s="510"/>
      <c r="K21" s="510" t="s">
        <v>694</v>
      </c>
      <c r="L21" s="510"/>
      <c r="M21" s="510" t="s">
        <v>695</v>
      </c>
      <c r="N21" s="511"/>
    </row>
    <row r="22" spans="2:14" x14ac:dyDescent="0.35">
      <c r="B22" s="152">
        <v>15</v>
      </c>
      <c r="C22" s="138" t="s">
        <v>524</v>
      </c>
      <c r="D22" s="510" t="s">
        <v>696</v>
      </c>
      <c r="E22" s="510"/>
      <c r="F22" s="510"/>
      <c r="G22" s="138" t="s">
        <v>514</v>
      </c>
      <c r="H22" s="510" t="s">
        <v>697</v>
      </c>
      <c r="I22" s="510"/>
      <c r="J22" s="510"/>
      <c r="K22" s="510" t="s">
        <v>698</v>
      </c>
      <c r="L22" s="510"/>
      <c r="M22" s="510" t="s">
        <v>699</v>
      </c>
      <c r="N22" s="511"/>
    </row>
    <row r="23" spans="2:14" x14ac:dyDescent="0.35">
      <c r="B23" s="152">
        <v>16</v>
      </c>
      <c r="C23" s="138" t="s">
        <v>598</v>
      </c>
      <c r="D23" s="510" t="s">
        <v>700</v>
      </c>
      <c r="E23" s="510"/>
      <c r="F23" s="510"/>
      <c r="G23" s="138" t="s">
        <v>550</v>
      </c>
      <c r="H23" s="510" t="s">
        <v>701</v>
      </c>
      <c r="I23" s="510"/>
      <c r="J23" s="510"/>
      <c r="K23" s="510" t="s">
        <v>702</v>
      </c>
      <c r="L23" s="510"/>
      <c r="M23" s="510" t="s">
        <v>703</v>
      </c>
      <c r="N23" s="511"/>
    </row>
    <row r="24" spans="2:14" x14ac:dyDescent="0.35">
      <c r="B24" s="152">
        <v>17</v>
      </c>
      <c r="C24" s="138" t="s">
        <v>704</v>
      </c>
      <c r="D24" s="510" t="s">
        <v>705</v>
      </c>
      <c r="E24" s="510"/>
      <c r="F24" s="510"/>
      <c r="G24" s="138" t="s">
        <v>620</v>
      </c>
      <c r="H24" s="510" t="s">
        <v>600</v>
      </c>
      <c r="I24" s="510"/>
      <c r="J24" s="510"/>
      <c r="K24" s="510" t="s">
        <v>706</v>
      </c>
      <c r="L24" s="510"/>
      <c r="M24" s="510" t="s">
        <v>707</v>
      </c>
      <c r="N24" s="511"/>
    </row>
    <row r="25" spans="2:14" x14ac:dyDescent="0.35">
      <c r="B25" s="151">
        <v>18</v>
      </c>
      <c r="C25" s="150" t="s">
        <v>708</v>
      </c>
      <c r="D25" s="512" t="s">
        <v>627</v>
      </c>
      <c r="E25" s="512"/>
      <c r="F25" s="512"/>
      <c r="G25" s="150" t="s">
        <v>680</v>
      </c>
      <c r="H25" s="512" t="s">
        <v>681</v>
      </c>
      <c r="I25" s="512"/>
      <c r="J25" s="512"/>
      <c r="K25" s="512" t="s">
        <v>709</v>
      </c>
      <c r="L25" s="512"/>
      <c r="M25" s="512" t="s">
        <v>710</v>
      </c>
      <c r="N25" s="513"/>
    </row>
  </sheetData>
  <mergeCells count="82">
    <mergeCell ref="D25:F25"/>
    <mergeCell ref="H25:J25"/>
    <mergeCell ref="K25:L25"/>
    <mergeCell ref="M25:N25"/>
    <mergeCell ref="D23:F23"/>
    <mergeCell ref="H23:J23"/>
    <mergeCell ref="K23:L23"/>
    <mergeCell ref="M23:N23"/>
    <mergeCell ref="D24:F24"/>
    <mergeCell ref="H24:J24"/>
    <mergeCell ref="K24:L24"/>
    <mergeCell ref="M24:N24"/>
    <mergeCell ref="D21:F21"/>
    <mergeCell ref="H21:J21"/>
    <mergeCell ref="K21:L21"/>
    <mergeCell ref="M21:N21"/>
    <mergeCell ref="D22:F22"/>
    <mergeCell ref="H22:J22"/>
    <mergeCell ref="K22:L22"/>
    <mergeCell ref="M22:N22"/>
    <mergeCell ref="D19:F19"/>
    <mergeCell ref="H19:J19"/>
    <mergeCell ref="K19:L19"/>
    <mergeCell ref="M19:N19"/>
    <mergeCell ref="D20:F20"/>
    <mergeCell ref="H20:J20"/>
    <mergeCell ref="K20:L20"/>
    <mergeCell ref="M20:N20"/>
    <mergeCell ref="D17:F17"/>
    <mergeCell ref="H17:J17"/>
    <mergeCell ref="K17:L17"/>
    <mergeCell ref="M17:N17"/>
    <mergeCell ref="D18:F18"/>
    <mergeCell ref="H18:J18"/>
    <mergeCell ref="K18:L18"/>
    <mergeCell ref="M18:N18"/>
    <mergeCell ref="D15:F15"/>
    <mergeCell ref="H15:J15"/>
    <mergeCell ref="K15:L15"/>
    <mergeCell ref="M15:N15"/>
    <mergeCell ref="D16:F16"/>
    <mergeCell ref="H16:J16"/>
    <mergeCell ref="K16:L16"/>
    <mergeCell ref="M16:N16"/>
    <mergeCell ref="D13:F13"/>
    <mergeCell ref="H13:J13"/>
    <mergeCell ref="K13:L13"/>
    <mergeCell ref="M13:N13"/>
    <mergeCell ref="D14:F14"/>
    <mergeCell ref="H14:J14"/>
    <mergeCell ref="K14:L14"/>
    <mergeCell ref="M14:N14"/>
    <mergeCell ref="D11:F11"/>
    <mergeCell ref="H11:J11"/>
    <mergeCell ref="K11:L11"/>
    <mergeCell ref="M11:N11"/>
    <mergeCell ref="D12:F12"/>
    <mergeCell ref="H12:J12"/>
    <mergeCell ref="K12:L12"/>
    <mergeCell ref="M12:N12"/>
    <mergeCell ref="D9:F9"/>
    <mergeCell ref="H9:J9"/>
    <mergeCell ref="K9:L9"/>
    <mergeCell ref="M9:N9"/>
    <mergeCell ref="D10:F10"/>
    <mergeCell ref="H10:J10"/>
    <mergeCell ref="K10:L10"/>
    <mergeCell ref="M10:N10"/>
    <mergeCell ref="D7:F7"/>
    <mergeCell ref="H7:J7"/>
    <mergeCell ref="K7:L7"/>
    <mergeCell ref="M7:N7"/>
    <mergeCell ref="D8:F8"/>
    <mergeCell ref="H8:J8"/>
    <mergeCell ref="K8:L8"/>
    <mergeCell ref="M8:N8"/>
    <mergeCell ref="B2:N2"/>
    <mergeCell ref="B3:N3"/>
    <mergeCell ref="C6:F6"/>
    <mergeCell ref="G6:J6"/>
    <mergeCell ref="K6:L6"/>
    <mergeCell ref="M6:N6"/>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719B5-12E6-48B5-8C77-97039CBDB85A}">
  <sheetPr>
    <tabColor rgb="FF117A65"/>
  </sheetPr>
  <dimension ref="B2:K51"/>
  <sheetViews>
    <sheetView topLeftCell="A17" zoomScale="56" workbookViewId="0">
      <selection activeCell="E13" sqref="E13"/>
    </sheetView>
  </sheetViews>
  <sheetFormatPr defaultColWidth="8.7265625" defaultRowHeight="14.5" x14ac:dyDescent="0.35"/>
  <cols>
    <col min="1" max="1" width="8.7265625" style="97"/>
    <col min="2" max="11" width="16.453125" style="97" customWidth="1"/>
    <col min="12" max="16384" width="8.7265625" style="97"/>
  </cols>
  <sheetData>
    <row r="2" spans="2:11" ht="18.5" x14ac:dyDescent="0.45">
      <c r="B2" s="491" t="s">
        <v>711</v>
      </c>
      <c r="C2" s="491"/>
      <c r="D2" s="491"/>
      <c r="E2" s="491"/>
      <c r="F2" s="491"/>
      <c r="G2" s="491"/>
      <c r="H2" s="491"/>
      <c r="I2" s="491"/>
      <c r="J2" s="491"/>
      <c r="K2" s="491"/>
    </row>
    <row r="6" spans="2:11" x14ac:dyDescent="0.35">
      <c r="B6" s="515" t="s">
        <v>712</v>
      </c>
      <c r="C6" s="515"/>
      <c r="D6" s="515"/>
      <c r="E6" s="516" t="s">
        <v>713</v>
      </c>
      <c r="F6" s="516"/>
      <c r="G6" s="516"/>
      <c r="H6" s="516"/>
      <c r="I6" s="516"/>
      <c r="J6" s="516"/>
      <c r="K6" s="516"/>
    </row>
    <row r="7" spans="2:11" x14ac:dyDescent="0.35">
      <c r="B7" s="515" t="s">
        <v>714</v>
      </c>
      <c r="C7" s="515"/>
      <c r="D7" s="515"/>
      <c r="E7" s="517" t="s">
        <v>715</v>
      </c>
      <c r="F7" s="517"/>
      <c r="G7" s="517"/>
      <c r="H7" s="517"/>
      <c r="I7" s="517"/>
      <c r="J7" s="517"/>
      <c r="K7" s="517"/>
    </row>
    <row r="8" spans="2:11" x14ac:dyDescent="0.35">
      <c r="B8" s="154"/>
      <c r="C8" s="154"/>
      <c r="D8" s="154"/>
      <c r="E8" s="154"/>
      <c r="F8" s="154"/>
      <c r="G8" s="154"/>
      <c r="H8" s="154"/>
      <c r="I8" s="154"/>
      <c r="J8" s="154"/>
      <c r="K8" s="154"/>
    </row>
    <row r="9" spans="2:11" x14ac:dyDescent="0.35">
      <c r="B9" s="154"/>
      <c r="C9" s="154"/>
      <c r="D9" s="154"/>
      <c r="E9" s="154"/>
      <c r="F9" s="154"/>
      <c r="G9" s="154"/>
      <c r="H9" s="154"/>
      <c r="I9" s="154"/>
      <c r="J9" s="154"/>
      <c r="K9" s="154"/>
    </row>
    <row r="10" spans="2:11" ht="17" x14ac:dyDescent="0.35">
      <c r="B10" s="514" t="s">
        <v>716</v>
      </c>
      <c r="C10" s="514"/>
      <c r="D10" s="514"/>
      <c r="E10" s="514"/>
      <c r="F10" s="514"/>
      <c r="G10" s="514"/>
      <c r="H10" s="514"/>
      <c r="I10" s="514"/>
      <c r="J10" s="514"/>
      <c r="K10" s="514"/>
    </row>
    <row r="11" spans="2:11" ht="15" thickBot="1" x14ac:dyDescent="0.4">
      <c r="B11" s="154"/>
      <c r="C11" s="154"/>
      <c r="D11" s="154"/>
      <c r="E11" s="154"/>
      <c r="F11" s="154"/>
      <c r="G11" s="154"/>
      <c r="H11" s="154"/>
      <c r="I11" s="154"/>
      <c r="J11" s="154"/>
      <c r="K11" s="154"/>
    </row>
    <row r="12" spans="2:11" ht="15" thickBot="1" x14ac:dyDescent="0.4">
      <c r="B12" s="154"/>
      <c r="C12" s="154"/>
      <c r="D12" s="154"/>
      <c r="E12" s="154"/>
      <c r="F12" s="154"/>
      <c r="G12" s="518" t="s">
        <v>717</v>
      </c>
      <c r="H12" s="519"/>
      <c r="I12" s="154"/>
      <c r="J12" s="154"/>
      <c r="K12" s="154"/>
    </row>
    <row r="13" spans="2:11" ht="15" thickBot="1" x14ac:dyDescent="0.4">
      <c r="B13" s="154"/>
      <c r="C13" s="154"/>
      <c r="D13" s="154"/>
      <c r="E13" s="154"/>
      <c r="F13" s="154"/>
      <c r="G13" s="155" t="s">
        <v>718</v>
      </c>
      <c r="H13" s="154"/>
      <c r="I13" s="154"/>
      <c r="J13" s="154"/>
      <c r="K13" s="154"/>
    </row>
    <row r="14" spans="2:11" ht="15" thickBot="1" x14ac:dyDescent="0.4">
      <c r="B14" s="154"/>
      <c r="C14" s="154"/>
      <c r="D14" s="154"/>
      <c r="E14" s="154"/>
      <c r="F14" s="154"/>
      <c r="G14" s="520" t="s">
        <v>719</v>
      </c>
      <c r="H14" s="521"/>
      <c r="I14" s="154"/>
      <c r="J14" s="154"/>
      <c r="K14" s="154"/>
    </row>
    <row r="15" spans="2:11" x14ac:dyDescent="0.35">
      <c r="B15" s="154"/>
      <c r="C15" s="154"/>
      <c r="D15" s="154"/>
      <c r="E15" s="154"/>
      <c r="F15" s="154"/>
      <c r="G15" s="155" t="s">
        <v>718</v>
      </c>
      <c r="H15" s="154"/>
      <c r="I15" s="154"/>
      <c r="J15" s="154"/>
      <c r="K15" s="154"/>
    </row>
    <row r="16" spans="2:11" ht="15" thickBot="1" x14ac:dyDescent="0.4">
      <c r="B16" s="154"/>
      <c r="C16" s="154"/>
      <c r="D16" s="154"/>
      <c r="E16" s="154"/>
      <c r="F16" s="154"/>
      <c r="G16" s="154"/>
      <c r="H16" s="154"/>
      <c r="I16" s="154"/>
      <c r="J16" s="154"/>
      <c r="K16" s="154"/>
    </row>
    <row r="17" spans="2:11" ht="50.15" customHeight="1" thickBot="1" x14ac:dyDescent="0.4">
      <c r="B17" s="522" t="s">
        <v>720</v>
      </c>
      <c r="C17" s="523"/>
      <c r="D17" s="522" t="s">
        <v>721</v>
      </c>
      <c r="E17" s="523"/>
      <c r="F17" s="522" t="s">
        <v>722</v>
      </c>
      <c r="G17" s="523"/>
      <c r="H17" s="522" t="s">
        <v>723</v>
      </c>
      <c r="I17" s="523"/>
      <c r="J17" s="522" t="s">
        <v>724</v>
      </c>
      <c r="K17" s="524"/>
    </row>
    <row r="18" spans="2:11" x14ac:dyDescent="0.35">
      <c r="B18" s="154"/>
      <c r="C18" s="154"/>
      <c r="D18" s="154"/>
      <c r="E18" s="154"/>
      <c r="F18" s="154"/>
      <c r="G18" s="154"/>
      <c r="H18" s="154"/>
      <c r="I18" s="154"/>
      <c r="J18" s="154"/>
      <c r="K18" s="154"/>
    </row>
    <row r="19" spans="2:11" ht="15" thickBot="1" x14ac:dyDescent="0.4">
      <c r="B19" s="154"/>
      <c r="C19" s="154"/>
      <c r="D19" s="154"/>
      <c r="E19" s="154"/>
      <c r="F19" s="154"/>
      <c r="G19" s="154"/>
      <c r="H19" s="154"/>
      <c r="I19" s="154"/>
      <c r="J19" s="154"/>
      <c r="K19" s="154"/>
    </row>
    <row r="20" spans="2:11" ht="45" customHeight="1" thickBot="1" x14ac:dyDescent="0.4">
      <c r="B20" s="525" t="s">
        <v>725</v>
      </c>
      <c r="C20" s="526"/>
      <c r="D20" s="525" t="s">
        <v>726</v>
      </c>
      <c r="E20" s="526"/>
      <c r="F20" s="525" t="s">
        <v>727</v>
      </c>
      <c r="G20" s="526"/>
      <c r="H20" s="525" t="s">
        <v>728</v>
      </c>
      <c r="I20" s="526"/>
      <c r="J20" s="525" t="s">
        <v>729</v>
      </c>
      <c r="K20" s="527"/>
    </row>
    <row r="21" spans="2:11" ht="45" customHeight="1" thickBot="1" x14ac:dyDescent="0.4">
      <c r="B21" s="528" t="s">
        <v>730</v>
      </c>
      <c r="C21" s="529"/>
      <c r="D21" s="528" t="s">
        <v>731</v>
      </c>
      <c r="E21" s="529"/>
      <c r="F21" s="528" t="s">
        <v>732</v>
      </c>
      <c r="G21" s="529"/>
      <c r="H21" s="528" t="s">
        <v>733</v>
      </c>
      <c r="I21" s="529"/>
      <c r="J21" s="528" t="s">
        <v>734</v>
      </c>
      <c r="K21" s="530"/>
    </row>
    <row r="22" spans="2:11" x14ac:dyDescent="0.35">
      <c r="B22" s="154"/>
      <c r="C22" s="154"/>
      <c r="D22" s="154"/>
      <c r="E22" s="154"/>
      <c r="F22" s="154"/>
      <c r="G22" s="154"/>
      <c r="H22" s="154"/>
      <c r="I22" s="154"/>
      <c r="J22" s="154"/>
      <c r="K22" s="154"/>
    </row>
    <row r="23" spans="2:11" x14ac:dyDescent="0.35">
      <c r="B23" s="154"/>
      <c r="C23" s="154"/>
      <c r="D23" s="154"/>
      <c r="E23" s="154"/>
      <c r="F23" s="154"/>
      <c r="G23" s="154"/>
      <c r="H23" s="154"/>
      <c r="I23" s="154"/>
      <c r="J23" s="154"/>
      <c r="K23" s="154"/>
    </row>
    <row r="24" spans="2:11" x14ac:dyDescent="0.35">
      <c r="B24" s="154"/>
      <c r="C24" s="154"/>
      <c r="D24" s="154"/>
      <c r="E24" s="154"/>
      <c r="F24" s="154"/>
      <c r="G24" s="154"/>
      <c r="H24" s="154"/>
      <c r="I24" s="154"/>
      <c r="J24" s="154"/>
      <c r="K24" s="154"/>
    </row>
    <row r="25" spans="2:11" ht="17" x14ac:dyDescent="0.35">
      <c r="B25" s="514" t="s">
        <v>735</v>
      </c>
      <c r="C25" s="514"/>
      <c r="D25" s="514"/>
      <c r="E25" s="514"/>
      <c r="F25" s="514"/>
      <c r="G25" s="514"/>
      <c r="H25" s="514"/>
      <c r="I25" s="514"/>
      <c r="J25" s="514"/>
      <c r="K25" s="514"/>
    </row>
    <row r="26" spans="2:11" x14ac:dyDescent="0.35">
      <c r="B26" s="154"/>
      <c r="C26" s="154"/>
      <c r="D26" s="154"/>
      <c r="E26" s="154"/>
      <c r="F26" s="154"/>
      <c r="G26" s="154"/>
      <c r="H26" s="154"/>
      <c r="I26" s="154"/>
      <c r="J26" s="154"/>
      <c r="K26" s="154"/>
    </row>
    <row r="27" spans="2:11" x14ac:dyDescent="0.35">
      <c r="B27" s="536" t="s">
        <v>736</v>
      </c>
      <c r="C27" s="531"/>
      <c r="D27" s="531" t="s">
        <v>737</v>
      </c>
      <c r="E27" s="531"/>
      <c r="F27" s="531" t="s">
        <v>738</v>
      </c>
      <c r="G27" s="531"/>
      <c r="H27" s="531"/>
      <c r="I27" s="531"/>
      <c r="J27" s="531"/>
      <c r="K27" s="532"/>
    </row>
    <row r="28" spans="2:11" x14ac:dyDescent="0.35">
      <c r="B28" s="533" t="s">
        <v>739</v>
      </c>
      <c r="C28" s="534"/>
      <c r="D28" s="534" t="s">
        <v>740</v>
      </c>
      <c r="E28" s="534"/>
      <c r="F28" s="534" t="s">
        <v>741</v>
      </c>
      <c r="G28" s="534"/>
      <c r="H28" s="534"/>
      <c r="I28" s="534"/>
      <c r="J28" s="534"/>
      <c r="K28" s="535"/>
    </row>
    <row r="29" spans="2:11" x14ac:dyDescent="0.35">
      <c r="B29" s="533" t="s">
        <v>739</v>
      </c>
      <c r="C29" s="534"/>
      <c r="D29" s="534" t="s">
        <v>742</v>
      </c>
      <c r="E29" s="534"/>
      <c r="F29" s="534" t="s">
        <v>743</v>
      </c>
      <c r="G29" s="534"/>
      <c r="H29" s="534"/>
      <c r="I29" s="534"/>
      <c r="J29" s="534"/>
      <c r="K29" s="535"/>
    </row>
    <row r="30" spans="2:11" x14ac:dyDescent="0.35">
      <c r="B30" s="533" t="s">
        <v>739</v>
      </c>
      <c r="C30" s="534"/>
      <c r="D30" s="534" t="s">
        <v>744</v>
      </c>
      <c r="E30" s="534"/>
      <c r="F30" s="534" t="s">
        <v>745</v>
      </c>
      <c r="G30" s="534"/>
      <c r="H30" s="534"/>
      <c r="I30" s="534"/>
      <c r="J30" s="534"/>
      <c r="K30" s="535"/>
    </row>
    <row r="31" spans="2:11" x14ac:dyDescent="0.35">
      <c r="B31" s="533" t="s">
        <v>746</v>
      </c>
      <c r="C31" s="534"/>
      <c r="D31" s="534" t="s">
        <v>747</v>
      </c>
      <c r="E31" s="534"/>
      <c r="F31" s="534" t="s">
        <v>748</v>
      </c>
      <c r="G31" s="534"/>
      <c r="H31" s="534"/>
      <c r="I31" s="534"/>
      <c r="J31" s="534"/>
      <c r="K31" s="535"/>
    </row>
    <row r="32" spans="2:11" x14ac:dyDescent="0.35">
      <c r="B32" s="533" t="s">
        <v>746</v>
      </c>
      <c r="C32" s="534"/>
      <c r="D32" s="534" t="s">
        <v>749</v>
      </c>
      <c r="E32" s="534"/>
      <c r="F32" s="534" t="s">
        <v>750</v>
      </c>
      <c r="G32" s="534"/>
      <c r="H32" s="534"/>
      <c r="I32" s="534"/>
      <c r="J32" s="534"/>
      <c r="K32" s="535"/>
    </row>
    <row r="33" spans="2:11" x14ac:dyDescent="0.35">
      <c r="B33" s="533" t="s">
        <v>746</v>
      </c>
      <c r="C33" s="534"/>
      <c r="D33" s="534" t="s">
        <v>751</v>
      </c>
      <c r="E33" s="534"/>
      <c r="F33" s="534" t="s">
        <v>752</v>
      </c>
      <c r="G33" s="534"/>
      <c r="H33" s="534"/>
      <c r="I33" s="534"/>
      <c r="J33" s="534"/>
      <c r="K33" s="535"/>
    </row>
    <row r="34" spans="2:11" x14ac:dyDescent="0.35">
      <c r="B34" s="533" t="s">
        <v>753</v>
      </c>
      <c r="C34" s="534"/>
      <c r="D34" s="534" t="s">
        <v>754</v>
      </c>
      <c r="E34" s="534"/>
      <c r="F34" s="534" t="s">
        <v>755</v>
      </c>
      <c r="G34" s="534"/>
      <c r="H34" s="534"/>
      <c r="I34" s="534"/>
      <c r="J34" s="534"/>
      <c r="K34" s="535"/>
    </row>
    <row r="35" spans="2:11" x14ac:dyDescent="0.35">
      <c r="B35" s="533" t="s">
        <v>753</v>
      </c>
      <c r="C35" s="534"/>
      <c r="D35" s="534" t="s">
        <v>756</v>
      </c>
      <c r="E35" s="534"/>
      <c r="F35" s="534" t="s">
        <v>757</v>
      </c>
      <c r="G35" s="534"/>
      <c r="H35" s="534"/>
      <c r="I35" s="534"/>
      <c r="J35" s="534"/>
      <c r="K35" s="535"/>
    </row>
    <row r="36" spans="2:11" x14ac:dyDescent="0.35">
      <c r="B36" s="533" t="s">
        <v>753</v>
      </c>
      <c r="C36" s="534"/>
      <c r="D36" s="534" t="s">
        <v>758</v>
      </c>
      <c r="E36" s="534"/>
      <c r="F36" s="534" t="s">
        <v>759</v>
      </c>
      <c r="G36" s="534"/>
      <c r="H36" s="534"/>
      <c r="I36" s="534"/>
      <c r="J36" s="534"/>
      <c r="K36" s="535"/>
    </row>
    <row r="37" spans="2:11" x14ac:dyDescent="0.35">
      <c r="B37" s="533" t="s">
        <v>760</v>
      </c>
      <c r="C37" s="534"/>
      <c r="D37" s="534" t="s">
        <v>761</v>
      </c>
      <c r="E37" s="534"/>
      <c r="F37" s="534" t="s">
        <v>762</v>
      </c>
      <c r="G37" s="534"/>
      <c r="H37" s="534"/>
      <c r="I37" s="534"/>
      <c r="J37" s="534"/>
      <c r="K37" s="535"/>
    </row>
    <row r="38" spans="2:11" x14ac:dyDescent="0.35">
      <c r="B38" s="533" t="s">
        <v>760</v>
      </c>
      <c r="C38" s="534"/>
      <c r="D38" s="534" t="s">
        <v>763</v>
      </c>
      <c r="E38" s="534"/>
      <c r="F38" s="534" t="s">
        <v>764</v>
      </c>
      <c r="G38" s="534"/>
      <c r="H38" s="534"/>
      <c r="I38" s="534"/>
      <c r="J38" s="534"/>
      <c r="K38" s="535"/>
    </row>
    <row r="39" spans="2:11" x14ac:dyDescent="0.35">
      <c r="B39" s="533" t="s">
        <v>765</v>
      </c>
      <c r="C39" s="534"/>
      <c r="D39" s="534" t="s">
        <v>766</v>
      </c>
      <c r="E39" s="534"/>
      <c r="F39" s="534" t="s">
        <v>767</v>
      </c>
      <c r="G39" s="534"/>
      <c r="H39" s="534"/>
      <c r="I39" s="534"/>
      <c r="J39" s="534"/>
      <c r="K39" s="535"/>
    </row>
    <row r="40" spans="2:11" x14ac:dyDescent="0.35">
      <c r="B40" s="533" t="s">
        <v>765</v>
      </c>
      <c r="C40" s="534"/>
      <c r="D40" s="534" t="s">
        <v>768</v>
      </c>
      <c r="E40" s="534"/>
      <c r="F40" s="534" t="s">
        <v>769</v>
      </c>
      <c r="G40" s="534"/>
      <c r="H40" s="534"/>
      <c r="I40" s="534"/>
      <c r="J40" s="534"/>
      <c r="K40" s="535"/>
    </row>
    <row r="41" spans="2:11" x14ac:dyDescent="0.35">
      <c r="B41" s="533" t="s">
        <v>765</v>
      </c>
      <c r="C41" s="534"/>
      <c r="D41" s="534" t="s">
        <v>770</v>
      </c>
      <c r="E41" s="534"/>
      <c r="F41" s="534" t="s">
        <v>771</v>
      </c>
      <c r="G41" s="534"/>
      <c r="H41" s="534"/>
      <c r="I41" s="534"/>
      <c r="J41" s="534"/>
      <c r="K41" s="535"/>
    </row>
    <row r="42" spans="2:11" x14ac:dyDescent="0.35">
      <c r="B42" s="533" t="s">
        <v>772</v>
      </c>
      <c r="C42" s="534"/>
      <c r="D42" s="534" t="s">
        <v>773</v>
      </c>
      <c r="E42" s="534"/>
      <c r="F42" s="534" t="s">
        <v>774</v>
      </c>
      <c r="G42" s="534"/>
      <c r="H42" s="534"/>
      <c r="I42" s="534"/>
      <c r="J42" s="534"/>
      <c r="K42" s="535"/>
    </row>
    <row r="43" spans="2:11" x14ac:dyDescent="0.35">
      <c r="B43" s="533" t="s">
        <v>772</v>
      </c>
      <c r="C43" s="534"/>
      <c r="D43" s="534" t="s">
        <v>775</v>
      </c>
      <c r="E43" s="534"/>
      <c r="F43" s="534" t="s">
        <v>776</v>
      </c>
      <c r="G43" s="534"/>
      <c r="H43" s="534"/>
      <c r="I43" s="534"/>
      <c r="J43" s="534"/>
      <c r="K43" s="535"/>
    </row>
    <row r="44" spans="2:11" x14ac:dyDescent="0.35">
      <c r="B44" s="533" t="s">
        <v>777</v>
      </c>
      <c r="C44" s="534"/>
      <c r="D44" s="534" t="s">
        <v>778</v>
      </c>
      <c r="E44" s="534"/>
      <c r="F44" s="534" t="s">
        <v>779</v>
      </c>
      <c r="G44" s="534"/>
      <c r="H44" s="534"/>
      <c r="I44" s="534"/>
      <c r="J44" s="534"/>
      <c r="K44" s="535"/>
    </row>
    <row r="45" spans="2:11" x14ac:dyDescent="0.35">
      <c r="B45" s="533" t="s">
        <v>780</v>
      </c>
      <c r="C45" s="534"/>
      <c r="D45" s="534" t="s">
        <v>781</v>
      </c>
      <c r="E45" s="534"/>
      <c r="F45" s="534" t="s">
        <v>782</v>
      </c>
      <c r="G45" s="534"/>
      <c r="H45" s="534"/>
      <c r="I45" s="534"/>
      <c r="J45" s="534"/>
      <c r="K45" s="535"/>
    </row>
    <row r="46" spans="2:11" x14ac:dyDescent="0.35">
      <c r="B46" s="533" t="s">
        <v>780</v>
      </c>
      <c r="C46" s="534"/>
      <c r="D46" s="534" t="s">
        <v>783</v>
      </c>
      <c r="E46" s="534"/>
      <c r="F46" s="534" t="s">
        <v>784</v>
      </c>
      <c r="G46" s="534"/>
      <c r="H46" s="534"/>
      <c r="I46" s="534"/>
      <c r="J46" s="534"/>
      <c r="K46" s="535"/>
    </row>
    <row r="47" spans="2:11" x14ac:dyDescent="0.35">
      <c r="B47" s="533" t="s">
        <v>785</v>
      </c>
      <c r="C47" s="534"/>
      <c r="D47" s="534" t="s">
        <v>786</v>
      </c>
      <c r="E47" s="534"/>
      <c r="F47" s="534" t="s">
        <v>787</v>
      </c>
      <c r="G47" s="534"/>
      <c r="H47" s="534"/>
      <c r="I47" s="534"/>
      <c r="J47" s="534"/>
      <c r="K47" s="535"/>
    </row>
    <row r="48" spans="2:11" x14ac:dyDescent="0.35">
      <c r="B48" s="533" t="s">
        <v>785</v>
      </c>
      <c r="C48" s="534"/>
      <c r="D48" s="534" t="s">
        <v>788</v>
      </c>
      <c r="E48" s="534"/>
      <c r="F48" s="534" t="s">
        <v>789</v>
      </c>
      <c r="G48" s="534"/>
      <c r="H48" s="534"/>
      <c r="I48" s="534"/>
      <c r="J48" s="534"/>
      <c r="K48" s="535"/>
    </row>
    <row r="49" spans="2:11" x14ac:dyDescent="0.35">
      <c r="B49" s="533" t="s">
        <v>785</v>
      </c>
      <c r="C49" s="534"/>
      <c r="D49" s="534" t="s">
        <v>790</v>
      </c>
      <c r="E49" s="534"/>
      <c r="F49" s="534" t="s">
        <v>791</v>
      </c>
      <c r="G49" s="534"/>
      <c r="H49" s="534"/>
      <c r="I49" s="534"/>
      <c r="J49" s="534"/>
      <c r="K49" s="535"/>
    </row>
    <row r="50" spans="2:11" x14ac:dyDescent="0.35">
      <c r="B50" s="533" t="s">
        <v>792</v>
      </c>
      <c r="C50" s="534"/>
      <c r="D50" s="534" t="s">
        <v>793</v>
      </c>
      <c r="E50" s="534"/>
      <c r="F50" s="534" t="s">
        <v>794</v>
      </c>
      <c r="G50" s="534"/>
      <c r="H50" s="534"/>
      <c r="I50" s="534"/>
      <c r="J50" s="534"/>
      <c r="K50" s="535"/>
    </row>
    <row r="51" spans="2:11" x14ac:dyDescent="0.35">
      <c r="B51" s="537" t="s">
        <v>792</v>
      </c>
      <c r="C51" s="538"/>
      <c r="D51" s="538" t="s">
        <v>795</v>
      </c>
      <c r="E51" s="538"/>
      <c r="F51" s="538" t="s">
        <v>796</v>
      </c>
      <c r="G51" s="538"/>
      <c r="H51" s="538"/>
      <c r="I51" s="538"/>
      <c r="J51" s="538"/>
      <c r="K51" s="539"/>
    </row>
  </sheetData>
  <mergeCells count="99">
    <mergeCell ref="B48:C48"/>
    <mergeCell ref="D48:E48"/>
    <mergeCell ref="F48:K48"/>
    <mergeCell ref="B51:C51"/>
    <mergeCell ref="D51:E51"/>
    <mergeCell ref="F51:K51"/>
    <mergeCell ref="B49:C49"/>
    <mergeCell ref="D49:E49"/>
    <mergeCell ref="F49:K49"/>
    <mergeCell ref="B50:C50"/>
    <mergeCell ref="D50:E50"/>
    <mergeCell ref="F50:K50"/>
    <mergeCell ref="B46:C46"/>
    <mergeCell ref="D46:E46"/>
    <mergeCell ref="F46:K46"/>
    <mergeCell ref="B47:C47"/>
    <mergeCell ref="D47:E47"/>
    <mergeCell ref="F47:K47"/>
    <mergeCell ref="B44:C44"/>
    <mergeCell ref="D44:E44"/>
    <mergeCell ref="F44:K44"/>
    <mergeCell ref="B45:C45"/>
    <mergeCell ref="D45:E45"/>
    <mergeCell ref="F45:K45"/>
    <mergeCell ref="B42:C42"/>
    <mergeCell ref="D42:E42"/>
    <mergeCell ref="F42:K42"/>
    <mergeCell ref="B43:C43"/>
    <mergeCell ref="D43:E43"/>
    <mergeCell ref="F43:K43"/>
    <mergeCell ref="B40:C40"/>
    <mergeCell ref="D40:E40"/>
    <mergeCell ref="F40:K40"/>
    <mergeCell ref="B41:C41"/>
    <mergeCell ref="D41:E41"/>
    <mergeCell ref="F41:K41"/>
    <mergeCell ref="B38:C38"/>
    <mergeCell ref="D38:E38"/>
    <mergeCell ref="F38:K38"/>
    <mergeCell ref="B39:C39"/>
    <mergeCell ref="D39:E39"/>
    <mergeCell ref="F39:K39"/>
    <mergeCell ref="B36:C36"/>
    <mergeCell ref="D36:E36"/>
    <mergeCell ref="F36:K36"/>
    <mergeCell ref="B37:C37"/>
    <mergeCell ref="D37:E37"/>
    <mergeCell ref="F37:K37"/>
    <mergeCell ref="B34:C34"/>
    <mergeCell ref="D34:E34"/>
    <mergeCell ref="F34:K34"/>
    <mergeCell ref="B35:C35"/>
    <mergeCell ref="D35:E35"/>
    <mergeCell ref="F35:K35"/>
    <mergeCell ref="B32:C32"/>
    <mergeCell ref="D32:E32"/>
    <mergeCell ref="F32:K32"/>
    <mergeCell ref="B33:C33"/>
    <mergeCell ref="D33:E33"/>
    <mergeCell ref="F33:K33"/>
    <mergeCell ref="B30:C30"/>
    <mergeCell ref="D30:E30"/>
    <mergeCell ref="F30:K30"/>
    <mergeCell ref="B31:C31"/>
    <mergeCell ref="D31:E31"/>
    <mergeCell ref="F31:K31"/>
    <mergeCell ref="D27:E27"/>
    <mergeCell ref="F27:K27"/>
    <mergeCell ref="B29:C29"/>
    <mergeCell ref="D29:E29"/>
    <mergeCell ref="F29:K29"/>
    <mergeCell ref="B28:C28"/>
    <mergeCell ref="D28:E28"/>
    <mergeCell ref="F28:K28"/>
    <mergeCell ref="B27:C27"/>
    <mergeCell ref="B25:K25"/>
    <mergeCell ref="J17:K17"/>
    <mergeCell ref="B20:C20"/>
    <mergeCell ref="D20:E20"/>
    <mergeCell ref="F20:G20"/>
    <mergeCell ref="H20:I20"/>
    <mergeCell ref="J20:K20"/>
    <mergeCell ref="B21:C21"/>
    <mergeCell ref="D21:E21"/>
    <mergeCell ref="F21:G21"/>
    <mergeCell ref="H21:I21"/>
    <mergeCell ref="J21:K21"/>
    <mergeCell ref="G12:H12"/>
    <mergeCell ref="G14:H14"/>
    <mergeCell ref="B17:C17"/>
    <mergeCell ref="D17:E17"/>
    <mergeCell ref="F17:G17"/>
    <mergeCell ref="H17:I17"/>
    <mergeCell ref="B10:K10"/>
    <mergeCell ref="B2:K2"/>
    <mergeCell ref="B6:D6"/>
    <mergeCell ref="E6:K6"/>
    <mergeCell ref="B7:D7"/>
    <mergeCell ref="E7:K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9B4A5-7D7E-417A-877B-1AD678850288}">
  <sheetPr>
    <tabColor rgb="FF117A65"/>
  </sheetPr>
  <dimension ref="B2:R19"/>
  <sheetViews>
    <sheetView workbookViewId="0">
      <pane xSplit="3" ySplit="7" topLeftCell="D8" activePane="bottomRight" state="frozen"/>
      <selection pane="topRight" activeCell="E13" sqref="E13"/>
      <selection pane="bottomLeft" activeCell="E13" sqref="E13"/>
      <selection pane="bottomRight" activeCell="E13" sqref="E13"/>
    </sheetView>
  </sheetViews>
  <sheetFormatPr defaultColWidth="8.7265625" defaultRowHeight="14.5" x14ac:dyDescent="0.35"/>
  <cols>
    <col min="1" max="1" width="8.7265625" style="97"/>
    <col min="2" max="2" width="5.453125" style="97" customWidth="1"/>
    <col min="3" max="3" width="40" style="97" customWidth="1"/>
    <col min="4" max="4" width="11.54296875" style="97" bestFit="1" customWidth="1"/>
    <col min="5" max="18" width="10" style="97" customWidth="1"/>
    <col min="19" max="16384" width="8.7265625" style="97"/>
  </cols>
  <sheetData>
    <row r="2" spans="2:18" ht="18.5" x14ac:dyDescent="0.45">
      <c r="B2" s="491" t="s">
        <v>797</v>
      </c>
      <c r="C2" s="491"/>
      <c r="D2" s="491"/>
      <c r="E2" s="491"/>
      <c r="F2" s="491"/>
      <c r="G2" s="491"/>
      <c r="H2" s="491"/>
      <c r="I2" s="491"/>
      <c r="J2" s="491"/>
      <c r="K2" s="491"/>
      <c r="L2" s="491"/>
      <c r="M2" s="491"/>
      <c r="N2" s="491"/>
      <c r="O2" s="491"/>
      <c r="P2" s="491"/>
      <c r="Q2" s="491"/>
      <c r="R2" s="491"/>
    </row>
    <row r="3" spans="2:18" x14ac:dyDescent="0.35">
      <c r="B3" s="506" t="s">
        <v>798</v>
      </c>
      <c r="C3" s="506"/>
      <c r="D3" s="506"/>
      <c r="E3" s="506"/>
      <c r="F3" s="506"/>
      <c r="G3" s="506"/>
      <c r="H3" s="506"/>
      <c r="I3" s="506"/>
      <c r="J3" s="506"/>
      <c r="K3" s="506"/>
      <c r="L3" s="506"/>
      <c r="M3" s="506"/>
      <c r="N3" s="506"/>
      <c r="O3" s="506"/>
      <c r="P3" s="506"/>
      <c r="Q3" s="506"/>
      <c r="R3" s="506"/>
    </row>
    <row r="6" spans="2:18" ht="30" customHeight="1" x14ac:dyDescent="0.35">
      <c r="B6" s="540" t="s">
        <v>799</v>
      </c>
      <c r="C6" s="541"/>
      <c r="D6" s="174" t="s">
        <v>800</v>
      </c>
      <c r="E6" s="541" t="s">
        <v>739</v>
      </c>
      <c r="F6" s="541"/>
      <c r="G6" s="541" t="s">
        <v>746</v>
      </c>
      <c r="H6" s="541"/>
      <c r="I6" s="541" t="s">
        <v>753</v>
      </c>
      <c r="J6" s="541"/>
      <c r="K6" s="541" t="s">
        <v>765</v>
      </c>
      <c r="L6" s="541"/>
      <c r="M6" s="541" t="s">
        <v>777</v>
      </c>
      <c r="N6" s="541"/>
      <c r="O6" s="541" t="s">
        <v>801</v>
      </c>
      <c r="P6" s="541"/>
      <c r="Q6" s="541" t="s">
        <v>792</v>
      </c>
      <c r="R6" s="542"/>
    </row>
    <row r="7" spans="2:18" ht="30" customHeight="1" x14ac:dyDescent="0.35">
      <c r="B7" s="173" t="s">
        <v>640</v>
      </c>
      <c r="C7" s="172" t="s">
        <v>320</v>
      </c>
      <c r="D7" s="171" t="s">
        <v>802</v>
      </c>
      <c r="E7" s="171" t="s">
        <v>803</v>
      </c>
      <c r="F7" s="171" t="s">
        <v>737</v>
      </c>
      <c r="G7" s="171" t="s">
        <v>803</v>
      </c>
      <c r="H7" s="171" t="s">
        <v>737</v>
      </c>
      <c r="I7" s="171" t="s">
        <v>803</v>
      </c>
      <c r="J7" s="171" t="s">
        <v>737</v>
      </c>
      <c r="K7" s="171" t="s">
        <v>803</v>
      </c>
      <c r="L7" s="171" t="s">
        <v>737</v>
      </c>
      <c r="M7" s="171" t="s">
        <v>803</v>
      </c>
      <c r="N7" s="171" t="s">
        <v>737</v>
      </c>
      <c r="O7" s="171" t="s">
        <v>803</v>
      </c>
      <c r="P7" s="171" t="s">
        <v>737</v>
      </c>
      <c r="Q7" s="171" t="s">
        <v>803</v>
      </c>
      <c r="R7" s="170" t="s">
        <v>737</v>
      </c>
    </row>
    <row r="8" spans="2:18" ht="35.15" customHeight="1" x14ac:dyDescent="0.35">
      <c r="B8" s="168">
        <v>1</v>
      </c>
      <c r="C8" s="167" t="s">
        <v>804</v>
      </c>
      <c r="D8" s="169" t="s">
        <v>805</v>
      </c>
      <c r="E8" s="163" t="s">
        <v>806</v>
      </c>
      <c r="F8" s="166" t="s">
        <v>807</v>
      </c>
      <c r="G8" s="163" t="s">
        <v>806</v>
      </c>
      <c r="H8" s="166" t="s">
        <v>807</v>
      </c>
      <c r="I8" s="163" t="s">
        <v>806</v>
      </c>
      <c r="J8" s="166" t="s">
        <v>807</v>
      </c>
      <c r="K8" s="163" t="s">
        <v>806</v>
      </c>
      <c r="L8" s="166" t="s">
        <v>807</v>
      </c>
      <c r="M8" s="163" t="s">
        <v>806</v>
      </c>
      <c r="N8" s="166" t="s">
        <v>807</v>
      </c>
      <c r="O8" s="163" t="s">
        <v>806</v>
      </c>
      <c r="P8" s="166" t="s">
        <v>807</v>
      </c>
      <c r="Q8" s="163" t="s">
        <v>806</v>
      </c>
      <c r="R8" s="162" t="s">
        <v>807</v>
      </c>
    </row>
    <row r="9" spans="2:18" ht="35.15" customHeight="1" x14ac:dyDescent="0.35">
      <c r="B9" s="168">
        <v>2</v>
      </c>
      <c r="C9" s="167" t="s">
        <v>808</v>
      </c>
      <c r="D9" s="165" t="s">
        <v>809</v>
      </c>
      <c r="E9" s="163" t="s">
        <v>806</v>
      </c>
      <c r="F9" s="163" t="s">
        <v>806</v>
      </c>
      <c r="G9" s="163" t="s">
        <v>806</v>
      </c>
      <c r="H9" s="166" t="s">
        <v>807</v>
      </c>
      <c r="I9" s="164" t="s">
        <v>810</v>
      </c>
      <c r="J9" s="164" t="s">
        <v>810</v>
      </c>
      <c r="K9" s="163" t="s">
        <v>806</v>
      </c>
      <c r="L9" s="166" t="s">
        <v>807</v>
      </c>
      <c r="M9" s="166" t="s">
        <v>807</v>
      </c>
      <c r="N9" s="166" t="s">
        <v>807</v>
      </c>
      <c r="O9" s="166" t="s">
        <v>807</v>
      </c>
      <c r="P9" s="166" t="s">
        <v>807</v>
      </c>
      <c r="Q9" s="166" t="s">
        <v>807</v>
      </c>
      <c r="R9" s="162" t="s">
        <v>807</v>
      </c>
    </row>
    <row r="10" spans="2:18" ht="35.15" customHeight="1" x14ac:dyDescent="0.35">
      <c r="B10" s="168">
        <v>3</v>
      </c>
      <c r="C10" s="167" t="s">
        <v>811</v>
      </c>
      <c r="D10" s="165" t="s">
        <v>809</v>
      </c>
      <c r="E10" s="166" t="s">
        <v>807</v>
      </c>
      <c r="F10" s="166" t="s">
        <v>807</v>
      </c>
      <c r="G10" s="163" t="s">
        <v>806</v>
      </c>
      <c r="H10" s="166" t="s">
        <v>807</v>
      </c>
      <c r="I10" s="166" t="s">
        <v>807</v>
      </c>
      <c r="J10" s="166" t="s">
        <v>807</v>
      </c>
      <c r="K10" s="164" t="s">
        <v>810</v>
      </c>
      <c r="L10" s="164" t="s">
        <v>810</v>
      </c>
      <c r="M10" s="163" t="s">
        <v>806</v>
      </c>
      <c r="N10" s="166" t="s">
        <v>807</v>
      </c>
      <c r="O10" s="166" t="s">
        <v>807</v>
      </c>
      <c r="P10" s="166" t="s">
        <v>807</v>
      </c>
      <c r="Q10" s="163" t="s">
        <v>806</v>
      </c>
      <c r="R10" s="162" t="s">
        <v>807</v>
      </c>
    </row>
    <row r="11" spans="2:18" ht="35.15" customHeight="1" x14ac:dyDescent="0.35">
      <c r="B11" s="168">
        <v>4</v>
      </c>
      <c r="C11" s="167" t="s">
        <v>812</v>
      </c>
      <c r="D11" s="166" t="s">
        <v>807</v>
      </c>
      <c r="E11" s="165" t="s">
        <v>809</v>
      </c>
      <c r="F11" s="164" t="s">
        <v>810</v>
      </c>
      <c r="G11" s="163" t="s">
        <v>806</v>
      </c>
      <c r="H11" s="163" t="s">
        <v>806</v>
      </c>
      <c r="I11" s="163" t="s">
        <v>806</v>
      </c>
      <c r="J11" s="166" t="s">
        <v>807</v>
      </c>
      <c r="K11" s="166" t="s">
        <v>807</v>
      </c>
      <c r="L11" s="166" t="s">
        <v>807</v>
      </c>
      <c r="M11" s="163" t="s">
        <v>806</v>
      </c>
      <c r="N11" s="166" t="s">
        <v>807</v>
      </c>
      <c r="O11" s="166" t="s">
        <v>807</v>
      </c>
      <c r="P11" s="166" t="s">
        <v>807</v>
      </c>
      <c r="Q11" s="166" t="s">
        <v>807</v>
      </c>
      <c r="R11" s="162" t="s">
        <v>807</v>
      </c>
    </row>
    <row r="12" spans="2:18" ht="35.15" customHeight="1" x14ac:dyDescent="0.35">
      <c r="B12" s="168">
        <v>5</v>
      </c>
      <c r="C12" s="167" t="s">
        <v>813</v>
      </c>
      <c r="D12" s="166" t="s">
        <v>807</v>
      </c>
      <c r="E12" s="163" t="s">
        <v>806</v>
      </c>
      <c r="F12" s="166" t="s">
        <v>807</v>
      </c>
      <c r="G12" s="165" t="s">
        <v>809</v>
      </c>
      <c r="H12" s="164" t="s">
        <v>810</v>
      </c>
      <c r="I12" s="163" t="s">
        <v>806</v>
      </c>
      <c r="J12" s="163" t="s">
        <v>806</v>
      </c>
      <c r="K12" s="166" t="s">
        <v>807</v>
      </c>
      <c r="L12" s="166" t="s">
        <v>807</v>
      </c>
      <c r="M12" s="166" t="s">
        <v>807</v>
      </c>
      <c r="N12" s="166" t="s">
        <v>807</v>
      </c>
      <c r="O12" s="166" t="s">
        <v>807</v>
      </c>
      <c r="P12" s="166" t="s">
        <v>807</v>
      </c>
      <c r="Q12" s="166" t="s">
        <v>807</v>
      </c>
      <c r="R12" s="162" t="s">
        <v>807</v>
      </c>
    </row>
    <row r="13" spans="2:18" ht="35.15" customHeight="1" x14ac:dyDescent="0.35">
      <c r="B13" s="168">
        <v>6</v>
      </c>
      <c r="C13" s="167" t="s">
        <v>486</v>
      </c>
      <c r="D13" s="166" t="s">
        <v>807</v>
      </c>
      <c r="E13" s="166" t="s">
        <v>807</v>
      </c>
      <c r="F13" s="166" t="s">
        <v>807</v>
      </c>
      <c r="G13" s="163" t="s">
        <v>806</v>
      </c>
      <c r="H13" s="166" t="s">
        <v>807</v>
      </c>
      <c r="I13" s="163" t="s">
        <v>806</v>
      </c>
      <c r="J13" s="166" t="s">
        <v>807</v>
      </c>
      <c r="K13" s="165" t="s">
        <v>809</v>
      </c>
      <c r="L13" s="164" t="s">
        <v>810</v>
      </c>
      <c r="M13" s="166" t="s">
        <v>807</v>
      </c>
      <c r="N13" s="166" t="s">
        <v>807</v>
      </c>
      <c r="O13" s="166" t="s">
        <v>807</v>
      </c>
      <c r="P13" s="166" t="s">
        <v>807</v>
      </c>
      <c r="Q13" s="166" t="s">
        <v>807</v>
      </c>
      <c r="R13" s="162" t="s">
        <v>807</v>
      </c>
    </row>
    <row r="14" spans="2:18" ht="35.15" customHeight="1" x14ac:dyDescent="0.35">
      <c r="B14" s="168">
        <v>7</v>
      </c>
      <c r="C14" s="167" t="s">
        <v>814</v>
      </c>
      <c r="D14" s="166" t="s">
        <v>807</v>
      </c>
      <c r="E14" s="163" t="s">
        <v>806</v>
      </c>
      <c r="F14" s="166" t="s">
        <v>807</v>
      </c>
      <c r="G14" s="163" t="s">
        <v>806</v>
      </c>
      <c r="H14" s="166" t="s">
        <v>807</v>
      </c>
      <c r="I14" s="163" t="s">
        <v>806</v>
      </c>
      <c r="J14" s="166" t="s">
        <v>807</v>
      </c>
      <c r="K14" s="163" t="s">
        <v>806</v>
      </c>
      <c r="L14" s="166" t="s">
        <v>807</v>
      </c>
      <c r="M14" s="166" t="s">
        <v>807</v>
      </c>
      <c r="N14" s="166" t="s">
        <v>807</v>
      </c>
      <c r="O14" s="165" t="s">
        <v>809</v>
      </c>
      <c r="P14" s="164" t="s">
        <v>810</v>
      </c>
      <c r="Q14" s="166" t="s">
        <v>807</v>
      </c>
      <c r="R14" s="162" t="s">
        <v>807</v>
      </c>
    </row>
    <row r="15" spans="2:18" ht="35.15" customHeight="1" x14ac:dyDescent="0.35">
      <c r="B15" s="168">
        <v>8</v>
      </c>
      <c r="C15" s="167" t="s">
        <v>531</v>
      </c>
      <c r="D15" s="166" t="s">
        <v>807</v>
      </c>
      <c r="E15" s="166" t="s">
        <v>807</v>
      </c>
      <c r="F15" s="166" t="s">
        <v>807</v>
      </c>
      <c r="G15" s="163" t="s">
        <v>806</v>
      </c>
      <c r="H15" s="166" t="s">
        <v>807</v>
      </c>
      <c r="I15" s="165" t="s">
        <v>809</v>
      </c>
      <c r="J15" s="164" t="s">
        <v>810</v>
      </c>
      <c r="K15" s="166" t="s">
        <v>807</v>
      </c>
      <c r="L15" s="166" t="s">
        <v>807</v>
      </c>
      <c r="M15" s="166" t="s">
        <v>807</v>
      </c>
      <c r="N15" s="166" t="s">
        <v>807</v>
      </c>
      <c r="O15" s="163" t="s">
        <v>806</v>
      </c>
      <c r="P15" s="166" t="s">
        <v>807</v>
      </c>
      <c r="Q15" s="166" t="s">
        <v>807</v>
      </c>
      <c r="R15" s="162" t="s">
        <v>807</v>
      </c>
    </row>
    <row r="16" spans="2:18" ht="35.15" customHeight="1" x14ac:dyDescent="0.35">
      <c r="B16" s="168">
        <v>9</v>
      </c>
      <c r="C16" s="167" t="s">
        <v>552</v>
      </c>
      <c r="D16" s="163" t="s">
        <v>806</v>
      </c>
      <c r="E16" s="163" t="s">
        <v>806</v>
      </c>
      <c r="F16" s="166" t="s">
        <v>807</v>
      </c>
      <c r="G16" s="163" t="s">
        <v>806</v>
      </c>
      <c r="H16" s="166" t="s">
        <v>807</v>
      </c>
      <c r="I16" s="163" t="s">
        <v>806</v>
      </c>
      <c r="J16" s="166" t="s">
        <v>807</v>
      </c>
      <c r="K16" s="163" t="s">
        <v>806</v>
      </c>
      <c r="L16" s="166" t="s">
        <v>807</v>
      </c>
      <c r="M16" s="165" t="s">
        <v>809</v>
      </c>
      <c r="N16" s="164" t="s">
        <v>810</v>
      </c>
      <c r="O16" s="163" t="s">
        <v>806</v>
      </c>
      <c r="P16" s="166" t="s">
        <v>807</v>
      </c>
      <c r="Q16" s="166" t="s">
        <v>807</v>
      </c>
      <c r="R16" s="162" t="s">
        <v>807</v>
      </c>
    </row>
    <row r="17" spans="2:18" ht="35.15" customHeight="1" x14ac:dyDescent="0.35">
      <c r="B17" s="168">
        <v>10</v>
      </c>
      <c r="C17" s="167" t="s">
        <v>815</v>
      </c>
      <c r="D17" s="166" t="s">
        <v>807</v>
      </c>
      <c r="E17" s="163" t="s">
        <v>806</v>
      </c>
      <c r="F17" s="163" t="s">
        <v>806</v>
      </c>
      <c r="G17" s="165" t="s">
        <v>809</v>
      </c>
      <c r="H17" s="164" t="s">
        <v>810</v>
      </c>
      <c r="I17" s="163" t="s">
        <v>806</v>
      </c>
      <c r="J17" s="166" t="s">
        <v>807</v>
      </c>
      <c r="K17" s="166" t="s">
        <v>807</v>
      </c>
      <c r="L17" s="166" t="s">
        <v>807</v>
      </c>
      <c r="M17" s="163" t="s">
        <v>806</v>
      </c>
      <c r="N17" s="166" t="s">
        <v>807</v>
      </c>
      <c r="O17" s="166" t="s">
        <v>807</v>
      </c>
      <c r="P17" s="166" t="s">
        <v>807</v>
      </c>
      <c r="Q17" s="166" t="s">
        <v>807</v>
      </c>
      <c r="R17" s="162" t="s">
        <v>807</v>
      </c>
    </row>
    <row r="18" spans="2:18" ht="35.15" customHeight="1" x14ac:dyDescent="0.35">
      <c r="B18" s="168">
        <v>11</v>
      </c>
      <c r="C18" s="167" t="s">
        <v>816</v>
      </c>
      <c r="D18" s="166" t="s">
        <v>807</v>
      </c>
      <c r="E18" s="163" t="s">
        <v>806</v>
      </c>
      <c r="F18" s="166" t="s">
        <v>807</v>
      </c>
      <c r="G18" s="163" t="s">
        <v>806</v>
      </c>
      <c r="H18" s="166" t="s">
        <v>807</v>
      </c>
      <c r="I18" s="163" t="s">
        <v>806</v>
      </c>
      <c r="J18" s="166" t="s">
        <v>807</v>
      </c>
      <c r="K18" s="166" t="s">
        <v>807</v>
      </c>
      <c r="L18" s="166" t="s">
        <v>807</v>
      </c>
      <c r="M18" s="163" t="s">
        <v>806</v>
      </c>
      <c r="N18" s="166" t="s">
        <v>807</v>
      </c>
      <c r="O18" s="165" t="s">
        <v>809</v>
      </c>
      <c r="P18" s="164" t="s">
        <v>810</v>
      </c>
      <c r="Q18" s="163" t="s">
        <v>806</v>
      </c>
      <c r="R18" s="162" t="s">
        <v>807</v>
      </c>
    </row>
    <row r="19" spans="2:18" ht="35.15" customHeight="1" x14ac:dyDescent="0.35">
      <c r="B19" s="161">
        <v>12</v>
      </c>
      <c r="C19" s="160" t="s">
        <v>615</v>
      </c>
      <c r="D19" s="159" t="s">
        <v>806</v>
      </c>
      <c r="E19" s="158" t="s">
        <v>807</v>
      </c>
      <c r="F19" s="158" t="s">
        <v>807</v>
      </c>
      <c r="G19" s="159" t="s">
        <v>806</v>
      </c>
      <c r="H19" s="158" t="s">
        <v>807</v>
      </c>
      <c r="I19" s="158" t="s">
        <v>807</v>
      </c>
      <c r="J19" s="158" t="s">
        <v>807</v>
      </c>
      <c r="K19" s="159" t="s">
        <v>806</v>
      </c>
      <c r="L19" s="158" t="s">
        <v>807</v>
      </c>
      <c r="M19" s="159" t="s">
        <v>806</v>
      </c>
      <c r="N19" s="158" t="s">
        <v>807</v>
      </c>
      <c r="O19" s="159" t="s">
        <v>806</v>
      </c>
      <c r="P19" s="158" t="s">
        <v>807</v>
      </c>
      <c r="Q19" s="157" t="s">
        <v>809</v>
      </c>
      <c r="R19" s="156" t="s">
        <v>810</v>
      </c>
    </row>
  </sheetData>
  <mergeCells count="10">
    <mergeCell ref="B2:R2"/>
    <mergeCell ref="B3:R3"/>
    <mergeCell ref="B6:C6"/>
    <mergeCell ref="E6:F6"/>
    <mergeCell ref="G6:H6"/>
    <mergeCell ref="I6:J6"/>
    <mergeCell ref="K6:L6"/>
    <mergeCell ref="M6:N6"/>
    <mergeCell ref="O6:P6"/>
    <mergeCell ref="Q6:R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0A3C5-2296-4D3D-8423-E2BD001CFEA6}">
  <sheetPr>
    <tabColor rgb="FF5DADE2"/>
  </sheetPr>
  <dimension ref="A1:H52"/>
  <sheetViews>
    <sheetView zoomScale="51" workbookViewId="0">
      <pane ySplit="4" topLeftCell="A5" activePane="bottomLeft" state="frozen"/>
      <selection activeCell="E13" sqref="E13"/>
      <selection pane="bottomLeft" activeCell="E13" sqref="E13"/>
    </sheetView>
  </sheetViews>
  <sheetFormatPr defaultColWidth="8.7265625" defaultRowHeight="14.5" x14ac:dyDescent="0.35"/>
  <cols>
    <col min="1" max="8" width="30.81640625" style="97" customWidth="1"/>
    <col min="9" max="16384" width="8.7265625" style="97"/>
  </cols>
  <sheetData>
    <row r="1" spans="1:8" ht="21" x14ac:dyDescent="0.5">
      <c r="A1" s="118" t="s">
        <v>817</v>
      </c>
    </row>
    <row r="2" spans="1:8" x14ac:dyDescent="0.35">
      <c r="A2" s="175" t="s">
        <v>818</v>
      </c>
    </row>
    <row r="4" spans="1:8" x14ac:dyDescent="0.35">
      <c r="A4" s="116" t="s">
        <v>819</v>
      </c>
      <c r="B4" s="144" t="s">
        <v>820</v>
      </c>
      <c r="C4" s="153" t="s">
        <v>821</v>
      </c>
      <c r="D4" s="153" t="s">
        <v>822</v>
      </c>
      <c r="E4" s="153" t="s">
        <v>823</v>
      </c>
      <c r="F4" s="153" t="s">
        <v>824</v>
      </c>
      <c r="G4" s="153" t="s">
        <v>825</v>
      </c>
      <c r="H4" s="115" t="s">
        <v>826</v>
      </c>
    </row>
    <row r="5" spans="1:8" ht="29" x14ac:dyDescent="0.35">
      <c r="A5" s="114" t="s">
        <v>827</v>
      </c>
      <c r="B5" s="132"/>
      <c r="C5" s="132"/>
      <c r="D5" s="132"/>
      <c r="E5" s="132"/>
      <c r="F5" s="132"/>
      <c r="G5" s="132"/>
      <c r="H5" s="110"/>
    </row>
    <row r="6" spans="1:8" ht="29" x14ac:dyDescent="0.35">
      <c r="A6" s="133"/>
      <c r="B6" s="132">
        <v>1</v>
      </c>
      <c r="C6" s="132" t="s">
        <v>828</v>
      </c>
      <c r="D6" s="132" t="s">
        <v>829</v>
      </c>
      <c r="E6" s="132" t="s">
        <v>830</v>
      </c>
      <c r="F6" s="132" t="s">
        <v>831</v>
      </c>
      <c r="G6" s="132" t="s">
        <v>832</v>
      </c>
      <c r="H6" s="110" t="s">
        <v>833</v>
      </c>
    </row>
    <row r="7" spans="1:8" x14ac:dyDescent="0.35">
      <c r="A7" s="133"/>
      <c r="B7" s="132">
        <v>2</v>
      </c>
      <c r="C7" s="132" t="s">
        <v>834</v>
      </c>
      <c r="D7" s="132" t="s">
        <v>835</v>
      </c>
      <c r="E7" s="132" t="s">
        <v>836</v>
      </c>
      <c r="F7" s="132" t="s">
        <v>837</v>
      </c>
      <c r="G7" s="132" t="s">
        <v>838</v>
      </c>
      <c r="H7" s="110" t="s">
        <v>839</v>
      </c>
    </row>
    <row r="8" spans="1:8" x14ac:dyDescent="0.35">
      <c r="A8" s="133"/>
      <c r="B8" s="132">
        <v>3</v>
      </c>
      <c r="C8" s="132" t="s">
        <v>840</v>
      </c>
      <c r="D8" s="132" t="s">
        <v>841</v>
      </c>
      <c r="E8" s="132" t="s">
        <v>842</v>
      </c>
      <c r="F8" s="132" t="s">
        <v>843</v>
      </c>
      <c r="G8" s="132" t="s">
        <v>844</v>
      </c>
      <c r="H8" s="110" t="s">
        <v>845</v>
      </c>
    </row>
    <row r="9" spans="1:8" ht="29" x14ac:dyDescent="0.35">
      <c r="A9" s="133"/>
      <c r="B9" s="132">
        <v>4</v>
      </c>
      <c r="C9" s="132" t="s">
        <v>846</v>
      </c>
      <c r="D9" s="132" t="s">
        <v>847</v>
      </c>
      <c r="E9" s="132" t="s">
        <v>848</v>
      </c>
      <c r="F9" s="132" t="s">
        <v>849</v>
      </c>
      <c r="G9" s="132" t="s">
        <v>850</v>
      </c>
      <c r="H9" s="110" t="s">
        <v>851</v>
      </c>
    </row>
    <row r="10" spans="1:8" ht="29" x14ac:dyDescent="0.35">
      <c r="A10" s="133"/>
      <c r="B10" s="132">
        <v>5</v>
      </c>
      <c r="C10" s="132" t="s">
        <v>852</v>
      </c>
      <c r="D10" s="132" t="s">
        <v>853</v>
      </c>
      <c r="E10" s="132" t="s">
        <v>854</v>
      </c>
      <c r="F10" s="132" t="s">
        <v>855</v>
      </c>
      <c r="G10" s="132" t="s">
        <v>856</v>
      </c>
      <c r="H10" s="110" t="s">
        <v>857</v>
      </c>
    </row>
    <row r="11" spans="1:8" ht="29" x14ac:dyDescent="0.35">
      <c r="A11" s="133"/>
      <c r="B11" s="132">
        <v>6</v>
      </c>
      <c r="C11" s="132" t="s">
        <v>858</v>
      </c>
      <c r="D11" s="132" t="s">
        <v>859</v>
      </c>
      <c r="E11" s="132" t="s">
        <v>860</v>
      </c>
      <c r="F11" s="132" t="s">
        <v>861</v>
      </c>
      <c r="G11" s="132" t="s">
        <v>862</v>
      </c>
      <c r="H11" s="110" t="s">
        <v>863</v>
      </c>
    </row>
    <row r="12" spans="1:8" ht="29" x14ac:dyDescent="0.35">
      <c r="A12" s="133"/>
      <c r="B12" s="132">
        <v>7</v>
      </c>
      <c r="C12" s="132" t="s">
        <v>864</v>
      </c>
      <c r="D12" s="132" t="s">
        <v>865</v>
      </c>
      <c r="E12" s="132" t="s">
        <v>866</v>
      </c>
      <c r="F12" s="132" t="s">
        <v>867</v>
      </c>
      <c r="G12" s="132" t="s">
        <v>868</v>
      </c>
      <c r="H12" s="110" t="s">
        <v>869</v>
      </c>
    </row>
    <row r="13" spans="1:8" x14ac:dyDescent="0.35">
      <c r="A13" s="133"/>
      <c r="B13" s="132"/>
      <c r="C13" s="132"/>
      <c r="D13" s="132"/>
      <c r="E13" s="132"/>
      <c r="F13" s="132"/>
      <c r="G13" s="132"/>
      <c r="H13" s="110"/>
    </row>
    <row r="14" spans="1:8" ht="29" x14ac:dyDescent="0.35">
      <c r="A14" s="114" t="s">
        <v>870</v>
      </c>
      <c r="B14" s="132"/>
      <c r="C14" s="132"/>
      <c r="D14" s="132"/>
      <c r="E14" s="132"/>
      <c r="F14" s="132"/>
      <c r="G14" s="132"/>
      <c r="H14" s="110"/>
    </row>
    <row r="15" spans="1:8" x14ac:dyDescent="0.35">
      <c r="A15" s="133"/>
      <c r="B15" s="132">
        <v>1</v>
      </c>
      <c r="C15" s="132" t="s">
        <v>871</v>
      </c>
      <c r="D15" s="132" t="s">
        <v>872</v>
      </c>
      <c r="E15" s="132" t="s">
        <v>873</v>
      </c>
      <c r="F15" s="132" t="s">
        <v>874</v>
      </c>
      <c r="G15" s="132" t="s">
        <v>875</v>
      </c>
      <c r="H15" s="110" t="s">
        <v>876</v>
      </c>
    </row>
    <row r="16" spans="1:8" ht="29" x14ac:dyDescent="0.35">
      <c r="A16" s="133"/>
      <c r="B16" s="132">
        <v>2</v>
      </c>
      <c r="C16" s="132" t="s">
        <v>877</v>
      </c>
      <c r="D16" s="132" t="s">
        <v>878</v>
      </c>
      <c r="E16" s="132" t="s">
        <v>879</v>
      </c>
      <c r="F16" s="132" t="s">
        <v>880</v>
      </c>
      <c r="G16" s="132" t="s">
        <v>881</v>
      </c>
      <c r="H16" s="110" t="s">
        <v>882</v>
      </c>
    </row>
    <row r="17" spans="1:8" ht="29" x14ac:dyDescent="0.35">
      <c r="A17" s="133"/>
      <c r="B17" s="132">
        <v>3</v>
      </c>
      <c r="C17" s="132" t="s">
        <v>883</v>
      </c>
      <c r="D17" s="132" t="s">
        <v>872</v>
      </c>
      <c r="E17" s="132" t="s">
        <v>329</v>
      </c>
      <c r="F17" s="132" t="s">
        <v>884</v>
      </c>
      <c r="G17" s="132" t="s">
        <v>885</v>
      </c>
      <c r="H17" s="110" t="s">
        <v>886</v>
      </c>
    </row>
    <row r="18" spans="1:8" x14ac:dyDescent="0.35">
      <c r="A18" s="133"/>
      <c r="B18" s="132">
        <v>4</v>
      </c>
      <c r="C18" s="132" t="s">
        <v>887</v>
      </c>
      <c r="D18" s="132" t="s">
        <v>878</v>
      </c>
      <c r="E18" s="132" t="s">
        <v>888</v>
      </c>
      <c r="F18" s="132" t="s">
        <v>889</v>
      </c>
      <c r="G18" s="132" t="s">
        <v>890</v>
      </c>
      <c r="H18" s="110" t="s">
        <v>891</v>
      </c>
    </row>
    <row r="19" spans="1:8" ht="29" x14ac:dyDescent="0.35">
      <c r="A19" s="133"/>
      <c r="B19" s="132">
        <v>5</v>
      </c>
      <c r="C19" s="132" t="s">
        <v>892</v>
      </c>
      <c r="D19" s="132" t="s">
        <v>872</v>
      </c>
      <c r="E19" s="132" t="s">
        <v>329</v>
      </c>
      <c r="F19" s="132" t="s">
        <v>329</v>
      </c>
      <c r="G19" s="132" t="s">
        <v>893</v>
      </c>
      <c r="H19" s="110" t="s">
        <v>894</v>
      </c>
    </row>
    <row r="20" spans="1:8" x14ac:dyDescent="0.35">
      <c r="A20" s="133"/>
      <c r="B20" s="132">
        <v>6</v>
      </c>
      <c r="C20" s="132" t="s">
        <v>895</v>
      </c>
      <c r="D20" s="132" t="s">
        <v>896</v>
      </c>
      <c r="E20" s="132" t="s">
        <v>897</v>
      </c>
      <c r="F20" s="132" t="s">
        <v>898</v>
      </c>
      <c r="G20" s="132" t="s">
        <v>899</v>
      </c>
      <c r="H20" s="110" t="s">
        <v>900</v>
      </c>
    </row>
    <row r="21" spans="1:8" ht="29" x14ac:dyDescent="0.35">
      <c r="A21" s="133"/>
      <c r="B21" s="132">
        <v>7</v>
      </c>
      <c r="C21" s="132" t="s">
        <v>901</v>
      </c>
      <c r="D21" s="132" t="s">
        <v>902</v>
      </c>
      <c r="E21" s="132" t="s">
        <v>903</v>
      </c>
      <c r="F21" s="132" t="s">
        <v>904</v>
      </c>
      <c r="G21" s="132" t="s">
        <v>905</v>
      </c>
      <c r="H21" s="110" t="s">
        <v>906</v>
      </c>
    </row>
    <row r="22" spans="1:8" x14ac:dyDescent="0.35">
      <c r="A22" s="133"/>
      <c r="B22" s="132"/>
      <c r="C22" s="132"/>
      <c r="D22" s="132"/>
      <c r="E22" s="132"/>
      <c r="F22" s="132"/>
      <c r="G22" s="132"/>
      <c r="H22" s="110"/>
    </row>
    <row r="23" spans="1:8" ht="29" x14ac:dyDescent="0.35">
      <c r="A23" s="114" t="s">
        <v>907</v>
      </c>
      <c r="B23" s="132"/>
      <c r="C23" s="132"/>
      <c r="D23" s="132"/>
      <c r="E23" s="132"/>
      <c r="F23" s="132"/>
      <c r="G23" s="132"/>
      <c r="H23" s="110"/>
    </row>
    <row r="24" spans="1:8" ht="29" x14ac:dyDescent="0.35">
      <c r="A24" s="133"/>
      <c r="B24" s="132">
        <v>1</v>
      </c>
      <c r="C24" s="132" t="s">
        <v>908</v>
      </c>
      <c r="D24" s="132" t="s">
        <v>909</v>
      </c>
      <c r="E24" s="132" t="s">
        <v>910</v>
      </c>
      <c r="F24" s="132" t="s">
        <v>911</v>
      </c>
      <c r="G24" s="132" t="s">
        <v>912</v>
      </c>
      <c r="H24" s="110" t="s">
        <v>913</v>
      </c>
    </row>
    <row r="25" spans="1:8" ht="29" x14ac:dyDescent="0.35">
      <c r="A25" s="133"/>
      <c r="B25" s="132">
        <v>2</v>
      </c>
      <c r="C25" s="132" t="s">
        <v>914</v>
      </c>
      <c r="D25" s="132" t="s">
        <v>915</v>
      </c>
      <c r="E25" s="132" t="s">
        <v>916</v>
      </c>
      <c r="F25" s="132" t="s">
        <v>917</v>
      </c>
      <c r="G25" s="132" t="s">
        <v>918</v>
      </c>
      <c r="H25" s="110" t="s">
        <v>919</v>
      </c>
    </row>
    <row r="26" spans="1:8" ht="29" x14ac:dyDescent="0.35">
      <c r="A26" s="133"/>
      <c r="B26" s="132">
        <v>3</v>
      </c>
      <c r="C26" s="132" t="s">
        <v>920</v>
      </c>
      <c r="D26" s="132" t="s">
        <v>853</v>
      </c>
      <c r="E26" s="132" t="s">
        <v>921</v>
      </c>
      <c r="F26" s="132" t="s">
        <v>922</v>
      </c>
      <c r="G26" s="132" t="s">
        <v>923</v>
      </c>
      <c r="H26" s="110" t="s">
        <v>924</v>
      </c>
    </row>
    <row r="27" spans="1:8" ht="29" x14ac:dyDescent="0.35">
      <c r="A27" s="133"/>
      <c r="B27" s="132">
        <v>4</v>
      </c>
      <c r="C27" s="132" t="s">
        <v>925</v>
      </c>
      <c r="D27" s="132" t="s">
        <v>926</v>
      </c>
      <c r="E27" s="132" t="s">
        <v>927</v>
      </c>
      <c r="F27" s="132" t="s">
        <v>928</v>
      </c>
      <c r="G27" s="132" t="s">
        <v>929</v>
      </c>
      <c r="H27" s="110" t="s">
        <v>930</v>
      </c>
    </row>
    <row r="28" spans="1:8" ht="29" x14ac:dyDescent="0.35">
      <c r="A28" s="133"/>
      <c r="B28" s="132">
        <v>5</v>
      </c>
      <c r="C28" s="132" t="s">
        <v>931</v>
      </c>
      <c r="D28" s="132" t="s">
        <v>932</v>
      </c>
      <c r="E28" s="132" t="s">
        <v>933</v>
      </c>
      <c r="F28" s="132" t="s">
        <v>934</v>
      </c>
      <c r="G28" s="132" t="s">
        <v>935</v>
      </c>
      <c r="H28" s="110" t="s">
        <v>936</v>
      </c>
    </row>
    <row r="29" spans="1:8" ht="29" x14ac:dyDescent="0.35">
      <c r="A29" s="133"/>
      <c r="B29" s="132">
        <v>6</v>
      </c>
      <c r="C29" s="132" t="s">
        <v>937</v>
      </c>
      <c r="D29" s="132" t="s">
        <v>938</v>
      </c>
      <c r="E29" s="132" t="s">
        <v>860</v>
      </c>
      <c r="F29" s="132" t="s">
        <v>878</v>
      </c>
      <c r="G29" s="132" t="s">
        <v>939</v>
      </c>
      <c r="H29" s="110" t="s">
        <v>940</v>
      </c>
    </row>
    <row r="30" spans="1:8" x14ac:dyDescent="0.35">
      <c r="A30" s="133"/>
      <c r="B30" s="132"/>
      <c r="C30" s="132"/>
      <c r="D30" s="132"/>
      <c r="E30" s="132"/>
      <c r="F30" s="132"/>
      <c r="G30" s="132"/>
      <c r="H30" s="110"/>
    </row>
    <row r="31" spans="1:8" ht="43.5" x14ac:dyDescent="0.35">
      <c r="A31" s="113" t="s">
        <v>941</v>
      </c>
      <c r="B31" s="132"/>
      <c r="C31" s="132"/>
      <c r="D31" s="132"/>
      <c r="E31" s="132"/>
      <c r="F31" s="132"/>
      <c r="G31" s="132"/>
      <c r="H31" s="110"/>
    </row>
    <row r="32" spans="1:8" ht="29" x14ac:dyDescent="0.35">
      <c r="A32" s="133"/>
      <c r="B32" s="132">
        <v>1</v>
      </c>
      <c r="C32" s="132" t="s">
        <v>942</v>
      </c>
      <c r="D32" s="132" t="s">
        <v>943</v>
      </c>
      <c r="E32" s="132" t="s">
        <v>944</v>
      </c>
      <c r="F32" s="132" t="s">
        <v>945</v>
      </c>
      <c r="G32" s="132" t="s">
        <v>946</v>
      </c>
      <c r="H32" s="110" t="s">
        <v>947</v>
      </c>
    </row>
    <row r="33" spans="1:8" x14ac:dyDescent="0.35">
      <c r="A33" s="133"/>
      <c r="B33" s="132">
        <v>2</v>
      </c>
      <c r="C33" s="132" t="s">
        <v>948</v>
      </c>
      <c r="D33" s="132" t="s">
        <v>949</v>
      </c>
      <c r="E33" s="132" t="s">
        <v>950</v>
      </c>
      <c r="F33" s="132" t="s">
        <v>951</v>
      </c>
      <c r="G33" s="132" t="s">
        <v>952</v>
      </c>
      <c r="H33" s="110" t="s">
        <v>953</v>
      </c>
    </row>
    <row r="34" spans="1:8" x14ac:dyDescent="0.35">
      <c r="A34" s="133"/>
      <c r="B34" s="132">
        <v>3</v>
      </c>
      <c r="C34" s="132" t="s">
        <v>954</v>
      </c>
      <c r="D34" s="132" t="s">
        <v>740</v>
      </c>
      <c r="E34" s="132" t="s">
        <v>955</v>
      </c>
      <c r="F34" s="132" t="s">
        <v>956</v>
      </c>
      <c r="G34" s="132" t="s">
        <v>957</v>
      </c>
      <c r="H34" s="110" t="s">
        <v>958</v>
      </c>
    </row>
    <row r="35" spans="1:8" x14ac:dyDescent="0.35">
      <c r="A35" s="133"/>
      <c r="B35" s="132">
        <v>4</v>
      </c>
      <c r="C35" s="132" t="s">
        <v>959</v>
      </c>
      <c r="D35" s="132" t="s">
        <v>960</v>
      </c>
      <c r="E35" s="132" t="s">
        <v>961</v>
      </c>
      <c r="F35" s="132" t="s">
        <v>962</v>
      </c>
      <c r="G35" s="132" t="s">
        <v>963</v>
      </c>
      <c r="H35" s="110" t="s">
        <v>964</v>
      </c>
    </row>
    <row r="36" spans="1:8" x14ac:dyDescent="0.35">
      <c r="A36" s="133"/>
      <c r="B36" s="132">
        <v>5</v>
      </c>
      <c r="C36" s="132" t="s">
        <v>965</v>
      </c>
      <c r="D36" s="132" t="s">
        <v>966</v>
      </c>
      <c r="E36" s="132" t="s">
        <v>967</v>
      </c>
      <c r="F36" s="132" t="s">
        <v>968</v>
      </c>
      <c r="G36" s="132" t="s">
        <v>969</v>
      </c>
      <c r="H36" s="110" t="s">
        <v>970</v>
      </c>
    </row>
    <row r="37" spans="1:8" ht="29" x14ac:dyDescent="0.35">
      <c r="A37" s="133"/>
      <c r="B37" s="132">
        <v>6</v>
      </c>
      <c r="C37" s="132" t="s">
        <v>971</v>
      </c>
      <c r="D37" s="132" t="s">
        <v>972</v>
      </c>
      <c r="E37" s="132" t="s">
        <v>973</v>
      </c>
      <c r="F37" s="132" t="s">
        <v>934</v>
      </c>
      <c r="G37" s="132" t="s">
        <v>974</v>
      </c>
      <c r="H37" s="110" t="s">
        <v>975</v>
      </c>
    </row>
    <row r="38" spans="1:8" x14ac:dyDescent="0.35">
      <c r="A38" s="133"/>
      <c r="B38" s="132"/>
      <c r="C38" s="132"/>
      <c r="D38" s="132"/>
      <c r="E38" s="132"/>
      <c r="F38" s="132"/>
      <c r="G38" s="132"/>
      <c r="H38" s="110"/>
    </row>
    <row r="39" spans="1:8" ht="29" x14ac:dyDescent="0.35">
      <c r="A39" s="113" t="s">
        <v>976</v>
      </c>
      <c r="B39" s="132"/>
      <c r="C39" s="132"/>
      <c r="D39" s="132"/>
      <c r="E39" s="132"/>
      <c r="F39" s="132"/>
      <c r="G39" s="132"/>
      <c r="H39" s="110"/>
    </row>
    <row r="40" spans="1:8" ht="29" x14ac:dyDescent="0.35">
      <c r="A40" s="133"/>
      <c r="B40" s="132">
        <v>1</v>
      </c>
      <c r="C40" s="132" t="s">
        <v>977</v>
      </c>
      <c r="D40" s="132" t="s">
        <v>978</v>
      </c>
      <c r="E40" s="132" t="s">
        <v>979</v>
      </c>
      <c r="F40" s="132" t="s">
        <v>980</v>
      </c>
      <c r="G40" s="132" t="s">
        <v>981</v>
      </c>
      <c r="H40" s="110" t="s">
        <v>982</v>
      </c>
    </row>
    <row r="41" spans="1:8" x14ac:dyDescent="0.35">
      <c r="A41" s="133"/>
      <c r="B41" s="132">
        <v>2</v>
      </c>
      <c r="C41" s="132" t="s">
        <v>983</v>
      </c>
      <c r="D41" s="132" t="s">
        <v>984</v>
      </c>
      <c r="E41" s="132" t="s">
        <v>985</v>
      </c>
      <c r="F41" s="132" t="s">
        <v>986</v>
      </c>
      <c r="G41" s="132" t="s">
        <v>987</v>
      </c>
      <c r="H41" s="110" t="s">
        <v>988</v>
      </c>
    </row>
    <row r="42" spans="1:8" x14ac:dyDescent="0.35">
      <c r="A42" s="133"/>
      <c r="B42" s="132">
        <v>3</v>
      </c>
      <c r="C42" s="132" t="s">
        <v>989</v>
      </c>
      <c r="D42" s="132" t="s">
        <v>990</v>
      </c>
      <c r="E42" s="132" t="s">
        <v>979</v>
      </c>
      <c r="F42" s="132" t="s">
        <v>991</v>
      </c>
      <c r="G42" s="132" t="s">
        <v>992</v>
      </c>
      <c r="H42" s="110" t="s">
        <v>993</v>
      </c>
    </row>
    <row r="43" spans="1:8" ht="29" x14ac:dyDescent="0.35">
      <c r="A43" s="133"/>
      <c r="B43" s="132">
        <v>4</v>
      </c>
      <c r="C43" s="132" t="s">
        <v>994</v>
      </c>
      <c r="D43" s="132" t="s">
        <v>995</v>
      </c>
      <c r="E43" s="132" t="s">
        <v>996</v>
      </c>
      <c r="F43" s="132" t="s">
        <v>997</v>
      </c>
      <c r="G43" s="132" t="s">
        <v>998</v>
      </c>
      <c r="H43" s="110" t="s">
        <v>999</v>
      </c>
    </row>
    <row r="44" spans="1:8" x14ac:dyDescent="0.35">
      <c r="A44" s="133"/>
      <c r="B44" s="132">
        <v>5</v>
      </c>
      <c r="C44" s="132" t="s">
        <v>1000</v>
      </c>
      <c r="D44" s="132" t="s">
        <v>1001</v>
      </c>
      <c r="E44" s="132" t="s">
        <v>1002</v>
      </c>
      <c r="F44" s="132" t="s">
        <v>1003</v>
      </c>
      <c r="G44" s="132" t="s">
        <v>1004</v>
      </c>
      <c r="H44" s="110" t="s">
        <v>1005</v>
      </c>
    </row>
    <row r="45" spans="1:8" x14ac:dyDescent="0.35">
      <c r="A45" s="133"/>
      <c r="B45" s="132"/>
      <c r="C45" s="132"/>
      <c r="D45" s="132"/>
      <c r="E45" s="132"/>
      <c r="F45" s="132"/>
      <c r="G45" s="132"/>
      <c r="H45" s="110"/>
    </row>
    <row r="46" spans="1:8" ht="29" x14ac:dyDescent="0.35">
      <c r="A46" s="112" t="s">
        <v>1006</v>
      </c>
      <c r="B46" s="132"/>
      <c r="C46" s="132"/>
      <c r="D46" s="132"/>
      <c r="E46" s="132"/>
      <c r="F46" s="132"/>
      <c r="G46" s="132"/>
      <c r="H46" s="110"/>
    </row>
    <row r="47" spans="1:8" ht="29" x14ac:dyDescent="0.35">
      <c r="A47" s="133"/>
      <c r="B47" s="132">
        <v>1</v>
      </c>
      <c r="C47" s="132" t="s">
        <v>1007</v>
      </c>
      <c r="D47" s="132" t="s">
        <v>1008</v>
      </c>
      <c r="E47" s="132" t="s">
        <v>1009</v>
      </c>
      <c r="F47" s="132" t="s">
        <v>1010</v>
      </c>
      <c r="G47" s="132" t="s">
        <v>1011</v>
      </c>
      <c r="H47" s="110" t="s">
        <v>1012</v>
      </c>
    </row>
    <row r="48" spans="1:8" ht="29" x14ac:dyDescent="0.35">
      <c r="A48" s="133"/>
      <c r="B48" s="132">
        <v>2</v>
      </c>
      <c r="C48" s="132" t="s">
        <v>1013</v>
      </c>
      <c r="D48" s="132" t="s">
        <v>1014</v>
      </c>
      <c r="E48" s="132" t="s">
        <v>1015</v>
      </c>
      <c r="F48" s="132" t="s">
        <v>1016</v>
      </c>
      <c r="G48" s="132" t="s">
        <v>1017</v>
      </c>
      <c r="H48" s="110" t="s">
        <v>1018</v>
      </c>
    </row>
    <row r="49" spans="1:8" x14ac:dyDescent="0.35">
      <c r="A49" s="133"/>
      <c r="B49" s="132">
        <v>3</v>
      </c>
      <c r="C49" s="132" t="s">
        <v>1019</v>
      </c>
      <c r="D49" s="132" t="s">
        <v>1020</v>
      </c>
      <c r="E49" s="132" t="s">
        <v>1021</v>
      </c>
      <c r="F49" s="132" t="s">
        <v>1022</v>
      </c>
      <c r="G49" s="132" t="s">
        <v>1023</v>
      </c>
      <c r="H49" s="110" t="s">
        <v>1024</v>
      </c>
    </row>
    <row r="50" spans="1:8" x14ac:dyDescent="0.35">
      <c r="A50" s="133"/>
      <c r="B50" s="132">
        <v>4</v>
      </c>
      <c r="C50" s="132" t="s">
        <v>1025</v>
      </c>
      <c r="D50" s="132" t="s">
        <v>1026</v>
      </c>
      <c r="E50" s="132" t="s">
        <v>1027</v>
      </c>
      <c r="F50" s="132" t="s">
        <v>1028</v>
      </c>
      <c r="G50" s="132" t="s">
        <v>1029</v>
      </c>
      <c r="H50" s="110" t="s">
        <v>1030</v>
      </c>
    </row>
    <row r="51" spans="1:8" ht="29" x14ac:dyDescent="0.35">
      <c r="A51" s="133"/>
      <c r="B51" s="132">
        <v>5</v>
      </c>
      <c r="C51" s="132" t="s">
        <v>595</v>
      </c>
      <c r="D51" s="132" t="s">
        <v>1031</v>
      </c>
      <c r="E51" s="132" t="s">
        <v>1032</v>
      </c>
      <c r="F51" s="132" t="s">
        <v>329</v>
      </c>
      <c r="G51" s="132" t="s">
        <v>597</v>
      </c>
      <c r="H51" s="110" t="s">
        <v>599</v>
      </c>
    </row>
    <row r="52" spans="1:8" x14ac:dyDescent="0.35">
      <c r="A52" s="127"/>
      <c r="B52" s="126">
        <v>6</v>
      </c>
      <c r="C52" s="126" t="s">
        <v>1033</v>
      </c>
      <c r="D52" s="126" t="s">
        <v>1034</v>
      </c>
      <c r="E52" s="126" t="s">
        <v>1035</v>
      </c>
      <c r="F52" s="126" t="s">
        <v>1036</v>
      </c>
      <c r="G52" s="126" t="s">
        <v>1037</v>
      </c>
      <c r="H52" s="108" t="s">
        <v>1038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74FD-4899-4EBF-B4B0-5363A000FF06}">
  <sheetPr>
    <tabColor rgb="FF5DADE2"/>
  </sheetPr>
  <dimension ref="A1:E12"/>
  <sheetViews>
    <sheetView topLeftCell="B1" workbookViewId="0">
      <pane ySplit="3" topLeftCell="A4" activePane="bottomLeft" state="frozen"/>
      <selection activeCell="E13" sqref="E13"/>
      <selection pane="bottomLeft" activeCell="E13" sqref="E13"/>
    </sheetView>
  </sheetViews>
  <sheetFormatPr defaultColWidth="8.7265625" defaultRowHeight="14.5" x14ac:dyDescent="0.35"/>
  <cols>
    <col min="1" max="5" width="41.81640625" style="97" customWidth="1"/>
    <col min="6" max="16384" width="8.7265625" style="97"/>
  </cols>
  <sheetData>
    <row r="1" spans="1:5" ht="21" x14ac:dyDescent="0.5">
      <c r="A1" s="118" t="s">
        <v>1039</v>
      </c>
    </row>
    <row r="3" spans="1:5" x14ac:dyDescent="0.35">
      <c r="A3" s="116" t="s">
        <v>1040</v>
      </c>
      <c r="B3" s="153" t="s">
        <v>321</v>
      </c>
      <c r="C3" s="153" t="s">
        <v>1041</v>
      </c>
      <c r="D3" s="153" t="s">
        <v>322</v>
      </c>
      <c r="E3" s="115" t="s">
        <v>1042</v>
      </c>
    </row>
    <row r="4" spans="1:5" ht="43.5" x14ac:dyDescent="0.35">
      <c r="A4" s="133" t="s">
        <v>1043</v>
      </c>
      <c r="B4" s="132" t="s">
        <v>1044</v>
      </c>
      <c r="C4" s="132" t="s">
        <v>1045</v>
      </c>
      <c r="D4" s="132" t="s">
        <v>1046</v>
      </c>
      <c r="E4" s="110" t="s">
        <v>1047</v>
      </c>
    </row>
    <row r="5" spans="1:5" ht="29" x14ac:dyDescent="0.35">
      <c r="A5" s="133" t="s">
        <v>1048</v>
      </c>
      <c r="B5" s="132" t="s">
        <v>946</v>
      </c>
      <c r="C5" s="132" t="s">
        <v>1049</v>
      </c>
      <c r="D5" s="132" t="s">
        <v>1050</v>
      </c>
      <c r="E5" s="110" t="s">
        <v>1051</v>
      </c>
    </row>
    <row r="6" spans="1:5" ht="29" x14ac:dyDescent="0.35">
      <c r="A6" s="133" t="s">
        <v>1052</v>
      </c>
      <c r="B6" s="132" t="s">
        <v>1053</v>
      </c>
      <c r="C6" s="132" t="s">
        <v>1054</v>
      </c>
      <c r="D6" s="132" t="s">
        <v>1055</v>
      </c>
      <c r="E6" s="110" t="s">
        <v>1056</v>
      </c>
    </row>
    <row r="7" spans="1:5" ht="29" x14ac:dyDescent="0.35">
      <c r="A7" s="133" t="s">
        <v>1057</v>
      </c>
      <c r="B7" s="132" t="s">
        <v>1058</v>
      </c>
      <c r="C7" s="132" t="s">
        <v>1059</v>
      </c>
      <c r="D7" s="132" t="s">
        <v>1060</v>
      </c>
      <c r="E7" s="110" t="s">
        <v>1061</v>
      </c>
    </row>
    <row r="8" spans="1:5" ht="29" x14ac:dyDescent="0.35">
      <c r="A8" s="133" t="s">
        <v>1062</v>
      </c>
      <c r="B8" s="132" t="s">
        <v>1063</v>
      </c>
      <c r="C8" s="132" t="s">
        <v>1064</v>
      </c>
      <c r="D8" s="132" t="s">
        <v>1065</v>
      </c>
      <c r="E8" s="110" t="s">
        <v>1066</v>
      </c>
    </row>
    <row r="9" spans="1:5" ht="43.5" x14ac:dyDescent="0.35">
      <c r="A9" s="133" t="s">
        <v>1067</v>
      </c>
      <c r="B9" s="132" t="s">
        <v>1068</v>
      </c>
      <c r="C9" s="132" t="s">
        <v>1069</v>
      </c>
      <c r="D9" s="132" t="s">
        <v>1070</v>
      </c>
      <c r="E9" s="110" t="s">
        <v>1071</v>
      </c>
    </row>
    <row r="10" spans="1:5" ht="29" x14ac:dyDescent="0.35">
      <c r="A10" s="133" t="s">
        <v>1072</v>
      </c>
      <c r="B10" s="132" t="s">
        <v>1073</v>
      </c>
      <c r="C10" s="132" t="s">
        <v>1074</v>
      </c>
      <c r="D10" s="132" t="s">
        <v>1075</v>
      </c>
      <c r="E10" s="110" t="s">
        <v>1076</v>
      </c>
    </row>
    <row r="11" spans="1:5" ht="29" x14ac:dyDescent="0.35">
      <c r="A11" s="133" t="s">
        <v>1077</v>
      </c>
      <c r="B11" s="132" t="s">
        <v>1078</v>
      </c>
      <c r="C11" s="132" t="s">
        <v>1079</v>
      </c>
      <c r="D11" s="132" t="s">
        <v>1080</v>
      </c>
      <c r="E11" s="110" t="s">
        <v>1081</v>
      </c>
    </row>
    <row r="12" spans="1:5" ht="58" x14ac:dyDescent="0.35">
      <c r="A12" s="127" t="s">
        <v>1082</v>
      </c>
      <c r="B12" s="126" t="s">
        <v>1083</v>
      </c>
      <c r="C12" s="126" t="s">
        <v>1084</v>
      </c>
      <c r="D12" s="126" t="s">
        <v>1085</v>
      </c>
      <c r="E12" s="108" t="s">
        <v>1086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6F598-407B-4EC1-B655-9225FCD19F05}">
  <sheetPr>
    <tabColor rgb="FF5DADE2"/>
  </sheetPr>
  <dimension ref="A1:H19"/>
  <sheetViews>
    <sheetView workbookViewId="0">
      <pane ySplit="3" topLeftCell="A4" activePane="bottomLeft" state="frozen"/>
      <selection activeCell="E13" sqref="E13"/>
      <selection pane="bottomLeft" activeCell="E13" sqref="E13"/>
    </sheetView>
  </sheetViews>
  <sheetFormatPr defaultColWidth="8.7265625" defaultRowHeight="14.5" x14ac:dyDescent="0.35"/>
  <cols>
    <col min="1" max="8" width="30" style="97" customWidth="1"/>
    <col min="9" max="16384" width="8.7265625" style="97"/>
  </cols>
  <sheetData>
    <row r="1" spans="1:8" ht="21" x14ac:dyDescent="0.5">
      <c r="A1" s="118" t="s">
        <v>1087</v>
      </c>
    </row>
    <row r="3" spans="1:8" x14ac:dyDescent="0.35">
      <c r="A3" s="116" t="s">
        <v>1088</v>
      </c>
      <c r="B3" s="153" t="s">
        <v>1089</v>
      </c>
      <c r="C3" s="153" t="s">
        <v>1090</v>
      </c>
      <c r="D3" s="153" t="s">
        <v>1091</v>
      </c>
      <c r="E3" s="153" t="s">
        <v>1092</v>
      </c>
      <c r="F3" s="153" t="s">
        <v>1093</v>
      </c>
      <c r="G3" s="153" t="s">
        <v>1094</v>
      </c>
      <c r="H3" s="115" t="s">
        <v>1095</v>
      </c>
    </row>
    <row r="4" spans="1:8" ht="29" x14ac:dyDescent="0.35">
      <c r="A4" s="133" t="s">
        <v>1096</v>
      </c>
      <c r="B4" s="132" t="s">
        <v>1097</v>
      </c>
      <c r="C4" s="132" t="s">
        <v>1098</v>
      </c>
      <c r="D4" s="132" t="s">
        <v>1099</v>
      </c>
      <c r="E4" s="132" t="s">
        <v>1100</v>
      </c>
      <c r="F4" s="132" t="s">
        <v>1101</v>
      </c>
      <c r="G4" s="132" t="s">
        <v>1102</v>
      </c>
      <c r="H4" s="110" t="s">
        <v>1103</v>
      </c>
    </row>
    <row r="5" spans="1:8" x14ac:dyDescent="0.35">
      <c r="A5" s="133" t="s">
        <v>1096</v>
      </c>
      <c r="B5" s="132" t="s">
        <v>1097</v>
      </c>
      <c r="C5" s="132" t="s">
        <v>1104</v>
      </c>
      <c r="D5" s="132" t="s">
        <v>1105</v>
      </c>
      <c r="E5" s="132" t="s">
        <v>1106</v>
      </c>
      <c r="F5" s="132" t="s">
        <v>1107</v>
      </c>
      <c r="G5" s="132" t="s">
        <v>1102</v>
      </c>
      <c r="H5" s="110" t="s">
        <v>1103</v>
      </c>
    </row>
    <row r="6" spans="1:8" ht="29" x14ac:dyDescent="0.35">
      <c r="A6" s="133" t="s">
        <v>1096</v>
      </c>
      <c r="B6" s="132" t="s">
        <v>1108</v>
      </c>
      <c r="C6" s="132" t="s">
        <v>1109</v>
      </c>
      <c r="D6" s="132" t="s">
        <v>1110</v>
      </c>
      <c r="E6" s="132" t="s">
        <v>1111</v>
      </c>
      <c r="F6" s="132" t="s">
        <v>1112</v>
      </c>
      <c r="G6" s="132" t="s">
        <v>1102</v>
      </c>
      <c r="H6" s="110" t="s">
        <v>1113</v>
      </c>
    </row>
    <row r="7" spans="1:8" x14ac:dyDescent="0.35">
      <c r="A7" s="133" t="s">
        <v>1114</v>
      </c>
      <c r="B7" s="132" t="s">
        <v>740</v>
      </c>
      <c r="C7" s="132" t="s">
        <v>1115</v>
      </c>
      <c r="D7" s="132" t="s">
        <v>1116</v>
      </c>
      <c r="E7" s="132" t="s">
        <v>1117</v>
      </c>
      <c r="F7" s="132" t="s">
        <v>1118</v>
      </c>
      <c r="G7" s="132" t="s">
        <v>1119</v>
      </c>
      <c r="H7" s="110" t="s">
        <v>1120</v>
      </c>
    </row>
    <row r="8" spans="1:8" ht="29" x14ac:dyDescent="0.35">
      <c r="A8" s="133" t="s">
        <v>1114</v>
      </c>
      <c r="B8" s="132" t="s">
        <v>1121</v>
      </c>
      <c r="C8" s="132" t="s">
        <v>1122</v>
      </c>
      <c r="D8" s="132" t="s">
        <v>1123</v>
      </c>
      <c r="E8" s="132" t="s">
        <v>1124</v>
      </c>
      <c r="F8" s="132" t="s">
        <v>1125</v>
      </c>
      <c r="G8" s="132" t="s">
        <v>1126</v>
      </c>
      <c r="H8" s="110" t="s">
        <v>1127</v>
      </c>
    </row>
    <row r="9" spans="1:8" x14ac:dyDescent="0.35">
      <c r="A9" s="133" t="s">
        <v>1128</v>
      </c>
      <c r="B9" s="132" t="s">
        <v>1129</v>
      </c>
      <c r="C9" s="132" t="s">
        <v>1130</v>
      </c>
      <c r="D9" s="132" t="s">
        <v>1131</v>
      </c>
      <c r="E9" s="132" t="s">
        <v>1132</v>
      </c>
      <c r="F9" s="132" t="s">
        <v>1133</v>
      </c>
      <c r="G9" s="132" t="s">
        <v>1134</v>
      </c>
      <c r="H9" s="110" t="s">
        <v>1135</v>
      </c>
    </row>
    <row r="10" spans="1:8" x14ac:dyDescent="0.35">
      <c r="A10" s="133" t="s">
        <v>1128</v>
      </c>
      <c r="B10" s="132" t="s">
        <v>1129</v>
      </c>
      <c r="C10" s="132" t="s">
        <v>1136</v>
      </c>
      <c r="D10" s="132" t="s">
        <v>1137</v>
      </c>
      <c r="E10" s="132" t="s">
        <v>1138</v>
      </c>
      <c r="F10" s="132" t="s">
        <v>1139</v>
      </c>
      <c r="G10" s="132" t="s">
        <v>1102</v>
      </c>
      <c r="H10" s="110" t="s">
        <v>1135</v>
      </c>
    </row>
    <row r="11" spans="1:8" ht="29" x14ac:dyDescent="0.35">
      <c r="A11" s="133" t="s">
        <v>1140</v>
      </c>
      <c r="B11" s="132" t="s">
        <v>1141</v>
      </c>
      <c r="C11" s="132" t="s">
        <v>1142</v>
      </c>
      <c r="D11" s="132" t="s">
        <v>1143</v>
      </c>
      <c r="E11" s="132" t="s">
        <v>1144</v>
      </c>
      <c r="F11" s="132" t="s">
        <v>1145</v>
      </c>
      <c r="G11" s="132" t="s">
        <v>1119</v>
      </c>
      <c r="H11" s="110" t="s">
        <v>1146</v>
      </c>
    </row>
    <row r="12" spans="1:8" x14ac:dyDescent="0.35">
      <c r="A12" s="133" t="s">
        <v>1140</v>
      </c>
      <c r="B12" s="132" t="s">
        <v>1147</v>
      </c>
      <c r="C12" s="132" t="s">
        <v>1148</v>
      </c>
      <c r="D12" s="132" t="s">
        <v>1149</v>
      </c>
      <c r="E12" s="132" t="s">
        <v>1150</v>
      </c>
      <c r="F12" s="132" t="s">
        <v>1151</v>
      </c>
      <c r="G12" s="132" t="s">
        <v>1119</v>
      </c>
      <c r="H12" s="110" t="s">
        <v>1152</v>
      </c>
    </row>
    <row r="13" spans="1:8" ht="29" x14ac:dyDescent="0.35">
      <c r="A13" s="133" t="s">
        <v>1153</v>
      </c>
      <c r="B13" s="132" t="s">
        <v>1154</v>
      </c>
      <c r="C13" s="132" t="s">
        <v>1155</v>
      </c>
      <c r="D13" s="132" t="s">
        <v>1156</v>
      </c>
      <c r="E13" s="132" t="s">
        <v>1157</v>
      </c>
      <c r="F13" s="132" t="s">
        <v>1158</v>
      </c>
      <c r="G13" s="132" t="s">
        <v>1134</v>
      </c>
      <c r="H13" s="110" t="s">
        <v>1159</v>
      </c>
    </row>
    <row r="14" spans="1:8" x14ac:dyDescent="0.35">
      <c r="A14" s="133" t="s">
        <v>1153</v>
      </c>
      <c r="B14" s="132" t="s">
        <v>1160</v>
      </c>
      <c r="C14" s="132" t="s">
        <v>1161</v>
      </c>
      <c r="D14" s="132" t="s">
        <v>1162</v>
      </c>
      <c r="E14" s="132" t="s">
        <v>1163</v>
      </c>
      <c r="F14" s="132" t="s">
        <v>1164</v>
      </c>
      <c r="G14" s="132" t="s">
        <v>1119</v>
      </c>
      <c r="H14" s="110" t="s">
        <v>1165</v>
      </c>
    </row>
    <row r="15" spans="1:8" ht="29" x14ac:dyDescent="0.35">
      <c r="A15" s="133" t="s">
        <v>790</v>
      </c>
      <c r="B15" s="132" t="s">
        <v>1031</v>
      </c>
      <c r="C15" s="132" t="s">
        <v>1166</v>
      </c>
      <c r="D15" s="132" t="s">
        <v>1167</v>
      </c>
      <c r="E15" s="132" t="s">
        <v>1168</v>
      </c>
      <c r="F15" s="132" t="s">
        <v>1169</v>
      </c>
      <c r="G15" s="132" t="s">
        <v>1119</v>
      </c>
      <c r="H15" s="110" t="s">
        <v>1170</v>
      </c>
    </row>
    <row r="16" spans="1:8" ht="29" x14ac:dyDescent="0.35">
      <c r="A16" s="133" t="s">
        <v>790</v>
      </c>
      <c r="B16" s="132" t="s">
        <v>1171</v>
      </c>
      <c r="C16" s="132" t="s">
        <v>1172</v>
      </c>
      <c r="D16" s="132" t="s">
        <v>1173</v>
      </c>
      <c r="E16" s="132" t="s">
        <v>1174</v>
      </c>
      <c r="F16" s="176">
        <v>1</v>
      </c>
      <c r="G16" s="132" t="s">
        <v>1119</v>
      </c>
      <c r="H16" s="110" t="s">
        <v>1008</v>
      </c>
    </row>
    <row r="17" spans="1:8" x14ac:dyDescent="0.35">
      <c r="A17" s="133" t="s">
        <v>1175</v>
      </c>
      <c r="B17" s="132" t="s">
        <v>1176</v>
      </c>
      <c r="C17" s="132" t="s">
        <v>1177</v>
      </c>
      <c r="D17" s="132" t="s">
        <v>1178</v>
      </c>
      <c r="E17" s="132" t="s">
        <v>1179</v>
      </c>
      <c r="F17" s="132" t="s">
        <v>1180</v>
      </c>
      <c r="G17" s="132" t="s">
        <v>1119</v>
      </c>
      <c r="H17" s="110" t="s">
        <v>1181</v>
      </c>
    </row>
    <row r="18" spans="1:8" x14ac:dyDescent="0.35">
      <c r="A18" s="133" t="s">
        <v>1175</v>
      </c>
      <c r="B18" s="132" t="s">
        <v>1182</v>
      </c>
      <c r="C18" s="132" t="s">
        <v>1183</v>
      </c>
      <c r="D18" s="132" t="s">
        <v>1184</v>
      </c>
      <c r="E18" s="132" t="s">
        <v>1185</v>
      </c>
      <c r="F18" s="132" t="s">
        <v>1112</v>
      </c>
      <c r="G18" s="132" t="s">
        <v>1134</v>
      </c>
      <c r="H18" s="110" t="s">
        <v>1186</v>
      </c>
    </row>
    <row r="19" spans="1:8" ht="29" x14ac:dyDescent="0.35">
      <c r="A19" s="127" t="s">
        <v>1187</v>
      </c>
      <c r="B19" s="126" t="s">
        <v>1154</v>
      </c>
      <c r="C19" s="126" t="s">
        <v>1188</v>
      </c>
      <c r="D19" s="126" t="s">
        <v>1189</v>
      </c>
      <c r="E19" s="126" t="s">
        <v>1190</v>
      </c>
      <c r="F19" s="126" t="s">
        <v>1191</v>
      </c>
      <c r="G19" s="126" t="s">
        <v>1134</v>
      </c>
      <c r="H19" s="108" t="s">
        <v>1192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A15D6-AD07-4321-8EA2-EAEC5D007EC6}">
  <sheetPr>
    <tabColor rgb="FF5DADE2"/>
  </sheetPr>
  <dimension ref="A1:I15"/>
  <sheetViews>
    <sheetView topLeftCell="B1" workbookViewId="0">
      <pane ySplit="3" topLeftCell="A4" activePane="bottomLeft" state="frozen"/>
      <selection activeCell="E13" sqref="E13"/>
      <selection pane="bottomLeft" activeCell="E13" sqref="E13"/>
    </sheetView>
  </sheetViews>
  <sheetFormatPr defaultColWidth="8.7265625" defaultRowHeight="14.5" x14ac:dyDescent="0.35"/>
  <cols>
    <col min="1" max="9" width="28.1796875" style="97" customWidth="1"/>
    <col min="10" max="16384" width="8.7265625" style="97"/>
  </cols>
  <sheetData>
    <row r="1" spans="1:9" ht="21" x14ac:dyDescent="0.5">
      <c r="A1" s="118" t="s">
        <v>1193</v>
      </c>
    </row>
    <row r="3" spans="1:9" x14ac:dyDescent="0.35">
      <c r="A3" s="116" t="s">
        <v>1089</v>
      </c>
      <c r="B3" s="153" t="s">
        <v>1194</v>
      </c>
      <c r="C3" s="153" t="s">
        <v>1195</v>
      </c>
      <c r="D3" s="153" t="s">
        <v>1196</v>
      </c>
      <c r="E3" s="144" t="s">
        <v>1197</v>
      </c>
      <c r="F3" s="144" t="s">
        <v>1198</v>
      </c>
      <c r="G3" s="153" t="s">
        <v>1199</v>
      </c>
      <c r="H3" s="153" t="s">
        <v>992</v>
      </c>
      <c r="I3" s="115" t="s">
        <v>1200</v>
      </c>
    </row>
    <row r="4" spans="1:9" ht="29" x14ac:dyDescent="0.35">
      <c r="A4" s="133" t="s">
        <v>1201</v>
      </c>
      <c r="B4" s="132" t="s">
        <v>1202</v>
      </c>
      <c r="C4" s="132" t="s">
        <v>1203</v>
      </c>
      <c r="D4" s="132" t="s">
        <v>1204</v>
      </c>
      <c r="E4" s="180" t="s">
        <v>168</v>
      </c>
      <c r="F4" s="179" t="s">
        <v>172</v>
      </c>
      <c r="G4" s="132" t="s">
        <v>1205</v>
      </c>
      <c r="H4" s="132" t="s">
        <v>1206</v>
      </c>
      <c r="I4" s="110" t="s">
        <v>1207</v>
      </c>
    </row>
    <row r="5" spans="1:9" ht="29" x14ac:dyDescent="0.35">
      <c r="A5" s="133" t="s">
        <v>1208</v>
      </c>
      <c r="B5" s="132" t="s">
        <v>1209</v>
      </c>
      <c r="C5" s="132" t="s">
        <v>1210</v>
      </c>
      <c r="D5" s="132" t="s">
        <v>1211</v>
      </c>
      <c r="E5" s="182" t="s">
        <v>164</v>
      </c>
      <c r="F5" s="181" t="s">
        <v>1212</v>
      </c>
      <c r="G5" s="132" t="s">
        <v>1213</v>
      </c>
      <c r="H5" s="132" t="s">
        <v>1214</v>
      </c>
      <c r="I5" s="110" t="s">
        <v>1215</v>
      </c>
    </row>
    <row r="6" spans="1:9" ht="29" x14ac:dyDescent="0.35">
      <c r="A6" s="133" t="s">
        <v>1097</v>
      </c>
      <c r="B6" s="132" t="s">
        <v>1216</v>
      </c>
      <c r="C6" s="132" t="s">
        <v>1217</v>
      </c>
      <c r="D6" s="132" t="s">
        <v>1218</v>
      </c>
      <c r="E6" s="179" t="s">
        <v>172</v>
      </c>
      <c r="F6" s="180" t="s">
        <v>168</v>
      </c>
      <c r="G6" s="132" t="s">
        <v>1219</v>
      </c>
      <c r="H6" s="132" t="s">
        <v>1220</v>
      </c>
      <c r="I6" s="110" t="s">
        <v>1221</v>
      </c>
    </row>
    <row r="7" spans="1:9" ht="29" x14ac:dyDescent="0.35">
      <c r="A7" s="133" t="s">
        <v>1097</v>
      </c>
      <c r="B7" s="132" t="s">
        <v>1222</v>
      </c>
      <c r="C7" s="132" t="s">
        <v>1223</v>
      </c>
      <c r="D7" s="132" t="s">
        <v>1224</v>
      </c>
      <c r="E7" s="180" t="s">
        <v>168</v>
      </c>
      <c r="F7" s="180" t="s">
        <v>168</v>
      </c>
      <c r="G7" s="132" t="s">
        <v>1225</v>
      </c>
      <c r="H7" s="132" t="s">
        <v>1226</v>
      </c>
      <c r="I7" s="110" t="s">
        <v>1227</v>
      </c>
    </row>
    <row r="8" spans="1:9" ht="29" x14ac:dyDescent="0.35">
      <c r="A8" s="133" t="s">
        <v>1182</v>
      </c>
      <c r="B8" s="132" t="s">
        <v>1228</v>
      </c>
      <c r="C8" s="132" t="s">
        <v>1229</v>
      </c>
      <c r="D8" s="132" t="s">
        <v>1230</v>
      </c>
      <c r="E8" s="180" t="s">
        <v>168</v>
      </c>
      <c r="F8" s="179" t="s">
        <v>172</v>
      </c>
      <c r="G8" s="132" t="s">
        <v>1231</v>
      </c>
      <c r="H8" s="132" t="s">
        <v>1232</v>
      </c>
      <c r="I8" s="110" t="s">
        <v>1233</v>
      </c>
    </row>
    <row r="9" spans="1:9" ht="29" x14ac:dyDescent="0.35">
      <c r="A9" s="133" t="s">
        <v>1234</v>
      </c>
      <c r="B9" s="132" t="s">
        <v>1235</v>
      </c>
      <c r="C9" s="132" t="s">
        <v>1236</v>
      </c>
      <c r="D9" s="132" t="s">
        <v>1237</v>
      </c>
      <c r="E9" s="180" t="s">
        <v>168</v>
      </c>
      <c r="F9" s="179" t="s">
        <v>172</v>
      </c>
      <c r="G9" s="132" t="s">
        <v>1238</v>
      </c>
      <c r="H9" s="132" t="s">
        <v>1239</v>
      </c>
      <c r="I9" s="110" t="s">
        <v>1240</v>
      </c>
    </row>
    <row r="10" spans="1:9" ht="29" x14ac:dyDescent="0.35">
      <c r="A10" s="133" t="s">
        <v>1241</v>
      </c>
      <c r="B10" s="132" t="s">
        <v>1242</v>
      </c>
      <c r="C10" s="132" t="s">
        <v>1243</v>
      </c>
      <c r="D10" s="132" t="s">
        <v>1244</v>
      </c>
      <c r="E10" s="182" t="s">
        <v>164</v>
      </c>
      <c r="F10" s="179" t="s">
        <v>172</v>
      </c>
      <c r="G10" s="132" t="s">
        <v>1245</v>
      </c>
      <c r="H10" s="132" t="s">
        <v>1246</v>
      </c>
      <c r="I10" s="110" t="s">
        <v>1247</v>
      </c>
    </row>
    <row r="11" spans="1:9" ht="29" x14ac:dyDescent="0.35">
      <c r="A11" s="133" t="s">
        <v>1147</v>
      </c>
      <c r="B11" s="132" t="s">
        <v>1248</v>
      </c>
      <c r="C11" s="132" t="s">
        <v>1249</v>
      </c>
      <c r="D11" s="132" t="s">
        <v>1250</v>
      </c>
      <c r="E11" s="180" t="s">
        <v>168</v>
      </c>
      <c r="F11" s="179" t="s">
        <v>172</v>
      </c>
      <c r="G11" s="132" t="s">
        <v>1251</v>
      </c>
      <c r="H11" s="132" t="s">
        <v>1252</v>
      </c>
      <c r="I11" s="110" t="s">
        <v>1253</v>
      </c>
    </row>
    <row r="12" spans="1:9" ht="29" x14ac:dyDescent="0.35">
      <c r="A12" s="133" t="s">
        <v>1129</v>
      </c>
      <c r="B12" s="132" t="s">
        <v>1254</v>
      </c>
      <c r="C12" s="132" t="s">
        <v>1255</v>
      </c>
      <c r="D12" s="132" t="s">
        <v>1256</v>
      </c>
      <c r="E12" s="180" t="s">
        <v>168</v>
      </c>
      <c r="F12" s="180" t="s">
        <v>168</v>
      </c>
      <c r="G12" s="132" t="s">
        <v>1257</v>
      </c>
      <c r="H12" s="132" t="s">
        <v>1258</v>
      </c>
      <c r="I12" s="110" t="s">
        <v>1259</v>
      </c>
    </row>
    <row r="13" spans="1:9" ht="29" x14ac:dyDescent="0.35">
      <c r="A13" s="133" t="s">
        <v>1260</v>
      </c>
      <c r="B13" s="132" t="s">
        <v>1261</v>
      </c>
      <c r="C13" s="132" t="s">
        <v>1262</v>
      </c>
      <c r="D13" s="132" t="s">
        <v>1263</v>
      </c>
      <c r="E13" s="180" t="s">
        <v>168</v>
      </c>
      <c r="F13" s="181" t="s">
        <v>1212</v>
      </c>
      <c r="G13" s="132" t="s">
        <v>1264</v>
      </c>
      <c r="H13" s="132" t="s">
        <v>1265</v>
      </c>
      <c r="I13" s="110" t="s">
        <v>1266</v>
      </c>
    </row>
    <row r="14" spans="1:9" ht="29" x14ac:dyDescent="0.35">
      <c r="A14" s="133" t="s">
        <v>1267</v>
      </c>
      <c r="B14" s="132" t="s">
        <v>1268</v>
      </c>
      <c r="C14" s="132" t="s">
        <v>1269</v>
      </c>
      <c r="D14" s="132" t="s">
        <v>1270</v>
      </c>
      <c r="E14" s="180" t="s">
        <v>168</v>
      </c>
      <c r="F14" s="179" t="s">
        <v>172</v>
      </c>
      <c r="G14" s="132" t="s">
        <v>1271</v>
      </c>
      <c r="H14" s="132" t="s">
        <v>1272</v>
      </c>
      <c r="I14" s="110" t="s">
        <v>1273</v>
      </c>
    </row>
    <row r="15" spans="1:9" ht="29" x14ac:dyDescent="0.35">
      <c r="A15" s="127" t="s">
        <v>1274</v>
      </c>
      <c r="B15" s="126" t="s">
        <v>1275</v>
      </c>
      <c r="C15" s="126" t="s">
        <v>1276</v>
      </c>
      <c r="D15" s="126" t="s">
        <v>1277</v>
      </c>
      <c r="E15" s="178" t="s">
        <v>168</v>
      </c>
      <c r="F15" s="177" t="s">
        <v>172</v>
      </c>
      <c r="G15" s="126" t="s">
        <v>1278</v>
      </c>
      <c r="H15" s="126" t="s">
        <v>1279</v>
      </c>
      <c r="I15" s="108" t="s">
        <v>1280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AB0A2-8E08-4327-8254-76461E8074B6}">
  <sheetPr>
    <tabColor rgb="FF5DADE2"/>
  </sheetPr>
  <dimension ref="A1:B34"/>
  <sheetViews>
    <sheetView workbookViewId="0">
      <selection activeCell="B38" sqref="B38"/>
    </sheetView>
  </sheetViews>
  <sheetFormatPr defaultColWidth="8.7265625" defaultRowHeight="14.5" x14ac:dyDescent="0.35"/>
  <cols>
    <col min="1" max="1" width="32.7265625" style="97" customWidth="1"/>
    <col min="2" max="2" width="127.26953125" style="97" customWidth="1"/>
    <col min="3" max="16384" width="8.7265625" style="97"/>
  </cols>
  <sheetData>
    <row r="1" spans="1:2" ht="21" x14ac:dyDescent="0.5">
      <c r="A1" s="118" t="s">
        <v>1281</v>
      </c>
    </row>
    <row r="3" spans="1:2" ht="17" x14ac:dyDescent="0.4">
      <c r="A3" s="185" t="s">
        <v>1282</v>
      </c>
    </row>
    <row r="4" spans="1:2" x14ac:dyDescent="0.35">
      <c r="A4" s="183" t="s">
        <v>1283</v>
      </c>
      <c r="B4" s="123" t="s">
        <v>1284</v>
      </c>
    </row>
    <row r="5" spans="1:2" x14ac:dyDescent="0.35">
      <c r="A5" s="183" t="s">
        <v>1285</v>
      </c>
      <c r="B5" s="123" t="s">
        <v>1286</v>
      </c>
    </row>
    <row r="6" spans="1:2" x14ac:dyDescent="0.35">
      <c r="A6" s="183" t="s">
        <v>1287</v>
      </c>
      <c r="B6" s="123" t="s">
        <v>1288</v>
      </c>
    </row>
    <row r="7" spans="1:2" x14ac:dyDescent="0.35">
      <c r="A7" s="183" t="s">
        <v>321</v>
      </c>
      <c r="B7" s="123" t="s">
        <v>1289</v>
      </c>
    </row>
    <row r="8" spans="1:2" ht="43.5" x14ac:dyDescent="0.35">
      <c r="A8" s="183" t="s">
        <v>1290</v>
      </c>
      <c r="B8" s="123" t="s">
        <v>1291</v>
      </c>
    </row>
    <row r="9" spans="1:2" x14ac:dyDescent="0.35">
      <c r="A9" s="183" t="s">
        <v>322</v>
      </c>
      <c r="B9" s="123" t="s">
        <v>1292</v>
      </c>
    </row>
    <row r="10" spans="1:2" x14ac:dyDescent="0.35">
      <c r="A10" s="183" t="s">
        <v>1293</v>
      </c>
      <c r="B10" s="123" t="s">
        <v>1294</v>
      </c>
    </row>
    <row r="11" spans="1:2" x14ac:dyDescent="0.35">
      <c r="A11" s="183" t="s">
        <v>1090</v>
      </c>
      <c r="B11" s="123" t="s">
        <v>1295</v>
      </c>
    </row>
    <row r="12" spans="1:2" x14ac:dyDescent="0.35">
      <c r="A12" s="183" t="s">
        <v>1296</v>
      </c>
      <c r="B12" s="123" t="s">
        <v>1297</v>
      </c>
    </row>
    <row r="13" spans="1:2" x14ac:dyDescent="0.35">
      <c r="B13" s="123"/>
    </row>
    <row r="14" spans="1:2" ht="17" x14ac:dyDescent="0.4">
      <c r="A14" s="185" t="s">
        <v>1298</v>
      </c>
      <c r="B14" s="123"/>
    </row>
    <row r="15" spans="1:2" x14ac:dyDescent="0.35">
      <c r="A15" s="183" t="s">
        <v>1283</v>
      </c>
      <c r="B15" s="123" t="s">
        <v>1299</v>
      </c>
    </row>
    <row r="16" spans="1:2" x14ac:dyDescent="0.35">
      <c r="A16" s="183" t="s">
        <v>1285</v>
      </c>
      <c r="B16" s="123" t="s">
        <v>1300</v>
      </c>
    </row>
    <row r="17" spans="1:2" x14ac:dyDescent="0.35">
      <c r="A17" s="183" t="s">
        <v>1287</v>
      </c>
      <c r="B17" s="123" t="s">
        <v>1301</v>
      </c>
    </row>
    <row r="18" spans="1:2" x14ac:dyDescent="0.35">
      <c r="A18" s="183" t="s">
        <v>321</v>
      </c>
      <c r="B18" s="123" t="s">
        <v>1302</v>
      </c>
    </row>
    <row r="19" spans="1:2" ht="43.5" x14ac:dyDescent="0.35">
      <c r="A19" s="183" t="s">
        <v>1290</v>
      </c>
      <c r="B19" s="123" t="s">
        <v>1303</v>
      </c>
    </row>
    <row r="20" spans="1:2" x14ac:dyDescent="0.35">
      <c r="A20" s="183" t="s">
        <v>322</v>
      </c>
      <c r="B20" s="123" t="s">
        <v>1304</v>
      </c>
    </row>
    <row r="21" spans="1:2" x14ac:dyDescent="0.35">
      <c r="A21" s="183" t="s">
        <v>1293</v>
      </c>
      <c r="B21" s="123" t="s">
        <v>1305</v>
      </c>
    </row>
    <row r="22" spans="1:2" x14ac:dyDescent="0.35">
      <c r="A22" s="183" t="s">
        <v>1090</v>
      </c>
      <c r="B22" s="123" t="s">
        <v>1306</v>
      </c>
    </row>
    <row r="23" spans="1:2" ht="29" x14ac:dyDescent="0.35">
      <c r="A23" s="183" t="s">
        <v>1296</v>
      </c>
      <c r="B23" s="123" t="s">
        <v>1307</v>
      </c>
    </row>
    <row r="24" spans="1:2" x14ac:dyDescent="0.35">
      <c r="B24" s="123"/>
    </row>
    <row r="25" spans="1:2" ht="17" x14ac:dyDescent="0.4">
      <c r="A25" s="184" t="s">
        <v>1308</v>
      </c>
      <c r="B25" s="123"/>
    </row>
    <row r="26" spans="1:2" x14ac:dyDescent="0.35">
      <c r="A26" s="183" t="s">
        <v>1283</v>
      </c>
      <c r="B26" s="123" t="s">
        <v>1309</v>
      </c>
    </row>
    <row r="27" spans="1:2" x14ac:dyDescent="0.35">
      <c r="A27" s="183" t="s">
        <v>1285</v>
      </c>
      <c r="B27" s="123" t="s">
        <v>1310</v>
      </c>
    </row>
    <row r="28" spans="1:2" x14ac:dyDescent="0.35">
      <c r="A28" s="183" t="s">
        <v>1287</v>
      </c>
      <c r="B28" s="123" t="s">
        <v>1311</v>
      </c>
    </row>
    <row r="29" spans="1:2" x14ac:dyDescent="0.35">
      <c r="A29" s="183" t="s">
        <v>321</v>
      </c>
      <c r="B29" s="123" t="s">
        <v>1312</v>
      </c>
    </row>
    <row r="30" spans="1:2" ht="43.5" x14ac:dyDescent="0.35">
      <c r="A30" s="183" t="s">
        <v>1290</v>
      </c>
      <c r="B30" s="123" t="s">
        <v>1313</v>
      </c>
    </row>
    <row r="31" spans="1:2" x14ac:dyDescent="0.35">
      <c r="A31" s="183" t="s">
        <v>322</v>
      </c>
      <c r="B31" s="123" t="s">
        <v>1314</v>
      </c>
    </row>
    <row r="32" spans="1:2" x14ac:dyDescent="0.35">
      <c r="A32" s="183" t="s">
        <v>1293</v>
      </c>
      <c r="B32" s="123" t="s">
        <v>1315</v>
      </c>
    </row>
    <row r="33" spans="1:2" x14ac:dyDescent="0.35">
      <c r="A33" s="183" t="s">
        <v>1090</v>
      </c>
      <c r="B33" s="123" t="s">
        <v>1316</v>
      </c>
    </row>
    <row r="34" spans="1:2" ht="29" x14ac:dyDescent="0.35">
      <c r="A34" s="183" t="s">
        <v>1296</v>
      </c>
      <c r="B34" s="123" t="s">
        <v>1317</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CE16A-0F24-42B1-8E2C-B16127BF5597}">
  <sheetPr>
    <tabColor rgb="FF5DADE2"/>
  </sheetPr>
  <dimension ref="A1:E12"/>
  <sheetViews>
    <sheetView workbookViewId="0">
      <pane ySplit="3" topLeftCell="A4" activePane="bottomLeft" state="frozen"/>
      <selection activeCell="E13" sqref="E13"/>
      <selection pane="bottomLeft" sqref="A1:E1"/>
    </sheetView>
  </sheetViews>
  <sheetFormatPr defaultColWidth="8.7265625" defaultRowHeight="14.5" x14ac:dyDescent="0.35"/>
  <cols>
    <col min="1" max="5" width="41.81640625" style="97" customWidth="1"/>
    <col min="6" max="16384" width="8.7265625" style="97"/>
  </cols>
  <sheetData>
    <row r="1" spans="1:5" ht="21" x14ac:dyDescent="0.5">
      <c r="A1" s="543" t="s">
        <v>1318</v>
      </c>
      <c r="B1" s="543"/>
      <c r="C1" s="543"/>
      <c r="D1" s="543"/>
      <c r="E1" s="543"/>
    </row>
    <row r="3" spans="1:5" x14ac:dyDescent="0.35">
      <c r="A3" s="116" t="s">
        <v>1319</v>
      </c>
      <c r="B3" s="153" t="s">
        <v>1320</v>
      </c>
      <c r="C3" s="153" t="s">
        <v>1321</v>
      </c>
      <c r="D3" s="153" t="s">
        <v>1322</v>
      </c>
      <c r="E3" s="143" t="s">
        <v>1323</v>
      </c>
    </row>
    <row r="4" spans="1:5" ht="43.5" x14ac:dyDescent="0.35">
      <c r="A4" s="133" t="s">
        <v>1324</v>
      </c>
      <c r="B4" s="132" t="s">
        <v>1325</v>
      </c>
      <c r="C4" s="132" t="s">
        <v>1326</v>
      </c>
      <c r="D4" s="132" t="s">
        <v>1327</v>
      </c>
      <c r="E4" s="110" t="s">
        <v>1328</v>
      </c>
    </row>
    <row r="5" spans="1:5" ht="29" x14ac:dyDescent="0.35">
      <c r="A5" s="133" t="s">
        <v>1329</v>
      </c>
      <c r="B5" s="132" t="s">
        <v>1330</v>
      </c>
      <c r="C5" s="132" t="s">
        <v>1331</v>
      </c>
      <c r="D5" s="132" t="s">
        <v>1332</v>
      </c>
      <c r="E5" s="110" t="s">
        <v>1328</v>
      </c>
    </row>
    <row r="6" spans="1:5" ht="43.5" x14ac:dyDescent="0.35">
      <c r="A6" s="133" t="s">
        <v>1333</v>
      </c>
      <c r="B6" s="132" t="s">
        <v>1334</v>
      </c>
      <c r="C6" s="132" t="s">
        <v>1335</v>
      </c>
      <c r="D6" s="132" t="s">
        <v>1336</v>
      </c>
      <c r="E6" s="110" t="s">
        <v>1328</v>
      </c>
    </row>
    <row r="7" spans="1:5" ht="29" x14ac:dyDescent="0.35">
      <c r="A7" s="133" t="s">
        <v>1337</v>
      </c>
      <c r="B7" s="132" t="s">
        <v>1338</v>
      </c>
      <c r="C7" s="132" t="s">
        <v>1339</v>
      </c>
      <c r="D7" s="132" t="s">
        <v>1340</v>
      </c>
      <c r="E7" s="110" t="s">
        <v>1341</v>
      </c>
    </row>
    <row r="8" spans="1:5" ht="29" x14ac:dyDescent="0.35">
      <c r="A8" s="133" t="s">
        <v>1342</v>
      </c>
      <c r="B8" s="132" t="s">
        <v>1343</v>
      </c>
      <c r="C8" s="132" t="s">
        <v>1344</v>
      </c>
      <c r="D8" s="132" t="s">
        <v>1345</v>
      </c>
      <c r="E8" s="110" t="s">
        <v>1328</v>
      </c>
    </row>
    <row r="9" spans="1:5" ht="29" x14ac:dyDescent="0.35">
      <c r="A9" s="133" t="s">
        <v>1346</v>
      </c>
      <c r="B9" s="132" t="s">
        <v>1347</v>
      </c>
      <c r="C9" s="132" t="s">
        <v>1348</v>
      </c>
      <c r="D9" s="132" t="s">
        <v>1349</v>
      </c>
      <c r="E9" s="110" t="s">
        <v>1328</v>
      </c>
    </row>
    <row r="10" spans="1:5" ht="29" x14ac:dyDescent="0.35">
      <c r="A10" s="133" t="s">
        <v>1350</v>
      </c>
      <c r="B10" s="132" t="s">
        <v>1351</v>
      </c>
      <c r="C10" s="132" t="s">
        <v>1352</v>
      </c>
      <c r="D10" s="132" t="s">
        <v>1353</v>
      </c>
      <c r="E10" s="110" t="s">
        <v>1354</v>
      </c>
    </row>
    <row r="11" spans="1:5" ht="29" x14ac:dyDescent="0.35">
      <c r="A11" s="133" t="s">
        <v>1355</v>
      </c>
      <c r="B11" s="132" t="s">
        <v>1356</v>
      </c>
      <c r="C11" s="132" t="s">
        <v>1357</v>
      </c>
      <c r="D11" s="132" t="s">
        <v>1358</v>
      </c>
      <c r="E11" s="110" t="s">
        <v>1354</v>
      </c>
    </row>
    <row r="12" spans="1:5" ht="29" x14ac:dyDescent="0.35">
      <c r="A12" s="127" t="s">
        <v>1359</v>
      </c>
      <c r="B12" s="126" t="s">
        <v>1360</v>
      </c>
      <c r="C12" s="126" t="s">
        <v>1361</v>
      </c>
      <c r="D12" s="126" t="s">
        <v>1362</v>
      </c>
      <c r="E12" s="108" t="s">
        <v>1354</v>
      </c>
    </row>
  </sheetData>
  <mergeCells count="1">
    <mergeCell ref="A1:E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A2540"/>
  </sheetPr>
  <dimension ref="B1:G19"/>
  <sheetViews>
    <sheetView zoomScaleNormal="100" workbookViewId="0">
      <selection activeCell="F27" sqref="F27"/>
    </sheetView>
  </sheetViews>
  <sheetFormatPr defaultColWidth="8.54296875" defaultRowHeight="14.5" x14ac:dyDescent="0.35"/>
  <cols>
    <col min="1" max="1" width="4" customWidth="1"/>
    <col min="2" max="2" width="30" customWidth="1"/>
    <col min="3" max="3" width="22" customWidth="1"/>
    <col min="4" max="4" width="36.453125" bestFit="1" customWidth="1"/>
    <col min="5" max="5" width="24" customWidth="1"/>
    <col min="6" max="6" width="38" customWidth="1"/>
  </cols>
  <sheetData>
    <row r="1" spans="2:7" ht="30" customHeight="1" x14ac:dyDescent="0.35">
      <c r="B1" s="487" t="s">
        <v>2369</v>
      </c>
      <c r="C1" s="487"/>
      <c r="D1" s="487"/>
      <c r="E1" s="487"/>
      <c r="F1" s="487"/>
    </row>
    <row r="3" spans="2:7" ht="15" customHeight="1" x14ac:dyDescent="0.35">
      <c r="B3" s="15" t="s">
        <v>820</v>
      </c>
      <c r="C3" s="15" t="s">
        <v>2370</v>
      </c>
      <c r="D3" s="15" t="s">
        <v>2371</v>
      </c>
      <c r="E3" s="15" t="s">
        <v>2372</v>
      </c>
      <c r="F3" s="15" t="s">
        <v>2373</v>
      </c>
      <c r="G3" s="15" t="s">
        <v>1378</v>
      </c>
    </row>
    <row r="4" spans="2:7" ht="31.5" customHeight="1" x14ac:dyDescent="0.35">
      <c r="B4" s="27" t="s">
        <v>2374</v>
      </c>
      <c r="C4" s="1" t="s">
        <v>2375</v>
      </c>
      <c r="D4" s="2" t="s">
        <v>2376</v>
      </c>
      <c r="E4" s="28" t="s">
        <v>2377</v>
      </c>
      <c r="F4" s="2" t="s">
        <v>2378</v>
      </c>
      <c r="G4" s="201" t="s">
        <v>2379</v>
      </c>
    </row>
    <row r="5" spans="2:7" ht="31.5" customHeight="1" x14ac:dyDescent="0.35">
      <c r="B5" s="27" t="s">
        <v>2380</v>
      </c>
      <c r="C5" s="1" t="s">
        <v>2381</v>
      </c>
      <c r="D5" s="2" t="s">
        <v>2382</v>
      </c>
      <c r="E5" s="28" t="s">
        <v>2377</v>
      </c>
      <c r="F5" s="2" t="s">
        <v>2383</v>
      </c>
      <c r="G5" s="201" t="s">
        <v>2384</v>
      </c>
    </row>
    <row r="6" spans="2:7" ht="31.5" customHeight="1" x14ac:dyDescent="0.35">
      <c r="B6" s="27" t="s">
        <v>2385</v>
      </c>
      <c r="C6" s="1" t="s">
        <v>2386</v>
      </c>
      <c r="D6" s="2" t="s">
        <v>2387</v>
      </c>
      <c r="E6" s="28" t="s">
        <v>2377</v>
      </c>
      <c r="F6" s="2" t="s">
        <v>2388</v>
      </c>
      <c r="G6" s="201" t="s">
        <v>2389</v>
      </c>
    </row>
    <row r="7" spans="2:7" ht="31.5" customHeight="1" x14ac:dyDescent="0.35">
      <c r="B7" s="27" t="s">
        <v>2390</v>
      </c>
      <c r="C7" s="1" t="s">
        <v>2391</v>
      </c>
      <c r="D7" s="2" t="s">
        <v>2392</v>
      </c>
      <c r="E7" s="29" t="s">
        <v>2393</v>
      </c>
      <c r="F7" s="2" t="s">
        <v>2394</v>
      </c>
      <c r="G7" s="201" t="s">
        <v>2395</v>
      </c>
    </row>
    <row r="8" spans="2:7" ht="31.5" customHeight="1" x14ac:dyDescent="0.35">
      <c r="B8" s="27" t="s">
        <v>2396</v>
      </c>
      <c r="C8" s="1" t="s">
        <v>2397</v>
      </c>
      <c r="D8" s="2" t="s">
        <v>2398</v>
      </c>
      <c r="E8" s="28" t="s">
        <v>2377</v>
      </c>
      <c r="F8" s="2" t="s">
        <v>2399</v>
      </c>
      <c r="G8" s="201" t="s">
        <v>1401</v>
      </c>
    </row>
    <row r="9" spans="2:7" ht="31.5" customHeight="1" x14ac:dyDescent="0.35">
      <c r="B9" s="27" t="s">
        <v>2400</v>
      </c>
      <c r="C9" s="1" t="s">
        <v>2401</v>
      </c>
      <c r="D9" s="2" t="s">
        <v>2402</v>
      </c>
      <c r="E9" s="30" t="s">
        <v>2403</v>
      </c>
      <c r="F9" s="2" t="s">
        <v>2404</v>
      </c>
      <c r="G9" s="5" t="s">
        <v>2405</v>
      </c>
    </row>
    <row r="13" spans="2:7" ht="15" customHeight="1" x14ac:dyDescent="0.35">
      <c r="B13" s="485" t="s">
        <v>2406</v>
      </c>
      <c r="C13" s="485"/>
      <c r="D13" s="485"/>
      <c r="E13" s="485"/>
      <c r="F13" s="485"/>
    </row>
    <row r="14" spans="2:7" ht="15" customHeight="1" x14ac:dyDescent="0.35">
      <c r="B14" s="15" t="s">
        <v>2407</v>
      </c>
      <c r="C14" s="15" t="s">
        <v>2408</v>
      </c>
      <c r="D14" s="15" t="s">
        <v>2409</v>
      </c>
      <c r="E14" s="15" t="s">
        <v>2410</v>
      </c>
      <c r="F14" s="15" t="s">
        <v>2411</v>
      </c>
    </row>
    <row r="15" spans="2:7" ht="15" customHeight="1" x14ac:dyDescent="0.35">
      <c r="B15" s="1" t="s">
        <v>2412</v>
      </c>
      <c r="C15" s="31">
        <v>3523</v>
      </c>
      <c r="D15" t="s">
        <v>2413</v>
      </c>
      <c r="E15" t="s">
        <v>2414</v>
      </c>
      <c r="F15" s="31">
        <v>70000000</v>
      </c>
    </row>
    <row r="16" spans="2:7" ht="15" customHeight="1" x14ac:dyDescent="0.35">
      <c r="B16" s="1" t="s">
        <v>2415</v>
      </c>
      <c r="C16" s="31">
        <v>12500</v>
      </c>
      <c r="D16" t="s">
        <v>2416</v>
      </c>
      <c r="E16" t="s">
        <v>2417</v>
      </c>
      <c r="F16" s="31">
        <v>650000000</v>
      </c>
    </row>
    <row r="17" spans="2:6" ht="15" customHeight="1" x14ac:dyDescent="0.35">
      <c r="B17" s="1" t="s">
        <v>2418</v>
      </c>
      <c r="C17" s="31">
        <v>900</v>
      </c>
      <c r="D17" t="s">
        <v>2419</v>
      </c>
      <c r="E17" t="s">
        <v>2420</v>
      </c>
      <c r="F17" s="31">
        <v>100000000</v>
      </c>
    </row>
    <row r="18" spans="2:6" ht="15" customHeight="1" x14ac:dyDescent="0.35">
      <c r="B18" s="1" t="s">
        <v>2421</v>
      </c>
      <c r="C18" s="31">
        <v>2182</v>
      </c>
      <c r="D18" t="s">
        <v>2422</v>
      </c>
      <c r="E18" t="s">
        <v>2423</v>
      </c>
      <c r="F18" s="31">
        <v>5000000</v>
      </c>
    </row>
    <row r="19" spans="2:6" ht="15" customHeight="1" x14ac:dyDescent="0.35">
      <c r="B19" s="32" t="s">
        <v>2424</v>
      </c>
      <c r="C19" s="33">
        <v>80</v>
      </c>
      <c r="D19" s="32" t="s">
        <v>2425</v>
      </c>
      <c r="E19" s="32" t="s">
        <v>2426</v>
      </c>
      <c r="F19" s="33">
        <v>7000000</v>
      </c>
    </row>
  </sheetData>
  <mergeCells count="2">
    <mergeCell ref="B1:F1"/>
    <mergeCell ref="B13:F13"/>
  </mergeCells>
  <hyperlinks>
    <hyperlink ref="G4" r:id="rId1" tooltip="https://www.esdm.go.id/en" xr:uid="{E03FC46A-ECFE-4920-82CB-CFA5E7328F8D}"/>
    <hyperlink ref="G5" r:id="rId2" tooltip="https://www.itdp.org/where-we-work/indonesia/" xr:uid="{49DFFEF7-9A14-44B3-A8DA-4C19D24699A0}"/>
    <hyperlink ref="G6" r:id="rId3" tooltip="https://ieefa.org/topics/indonesia" xr:uid="{0B928463-FE0B-4A4A-9591-22430F9393C9}"/>
    <hyperlink ref="G7" r:id="rId4" tooltip="https://www.sciencedirect.com/" xr:uid="{CE0387B5-268B-4E07-B115-45B6CC47379E}"/>
    <hyperlink ref="G8" r:id="rId5" tooltip="https://ieefa.org/topics/indonesia" xr:uid="{D8162BE5-19A6-4574-AE41-ED5CA988D16F}"/>
  </hyperlinks>
  <pageMargins left="0.75" right="0.75" top="1" bottom="1"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A2540"/>
  </sheetPr>
  <dimension ref="B1:G24"/>
  <sheetViews>
    <sheetView zoomScaleNormal="100" workbookViewId="0">
      <selection activeCell="G4" sqref="G4:G14"/>
    </sheetView>
  </sheetViews>
  <sheetFormatPr defaultColWidth="8.54296875" defaultRowHeight="14.5" x14ac:dyDescent="0.35"/>
  <cols>
    <col min="1" max="1" width="4" customWidth="1"/>
    <col min="2" max="2" width="36" customWidth="1"/>
    <col min="3" max="3" width="28.26953125" bestFit="1" customWidth="1"/>
    <col min="4" max="4" width="16" customWidth="1"/>
    <col min="5" max="5" width="12" customWidth="1"/>
    <col min="6" max="6" width="28" customWidth="1"/>
  </cols>
  <sheetData>
    <row r="1" spans="2:7" ht="30" customHeight="1" x14ac:dyDescent="0.35">
      <c r="B1" s="487" t="s">
        <v>2427</v>
      </c>
      <c r="C1" s="487"/>
      <c r="D1" s="487"/>
      <c r="E1" s="487"/>
      <c r="F1" s="487"/>
    </row>
    <row r="3" spans="2:7" ht="15" customHeight="1" x14ac:dyDescent="0.35">
      <c r="B3" s="485" t="s">
        <v>2428</v>
      </c>
      <c r="C3" s="485"/>
      <c r="D3" s="485"/>
      <c r="E3" s="485"/>
      <c r="F3" s="485"/>
    </row>
    <row r="4" spans="2:7" ht="15" customHeight="1" x14ac:dyDescent="0.35">
      <c r="B4" s="15" t="s">
        <v>820</v>
      </c>
      <c r="C4" s="15" t="s">
        <v>1468</v>
      </c>
      <c r="D4" s="15" t="s">
        <v>2429</v>
      </c>
      <c r="E4" s="15" t="s">
        <v>1377</v>
      </c>
      <c r="F4" s="15" t="s">
        <v>2430</v>
      </c>
      <c r="G4" s="15" t="s">
        <v>1378</v>
      </c>
    </row>
    <row r="5" spans="2:7" ht="15" customHeight="1" x14ac:dyDescent="0.35">
      <c r="B5" s="34">
        <v>1</v>
      </c>
      <c r="C5" t="s">
        <v>2431</v>
      </c>
      <c r="D5" s="35">
        <v>280</v>
      </c>
      <c r="E5" s="2" t="s">
        <v>2432</v>
      </c>
      <c r="F5" s="36">
        <v>2025</v>
      </c>
      <c r="G5" s="201" t="s">
        <v>2433</v>
      </c>
    </row>
    <row r="6" spans="2:7" ht="15" customHeight="1" x14ac:dyDescent="0.35">
      <c r="B6" s="34">
        <v>2</v>
      </c>
      <c r="C6" t="s">
        <v>2434</v>
      </c>
      <c r="D6" s="35">
        <v>130</v>
      </c>
      <c r="E6" s="2" t="s">
        <v>2435</v>
      </c>
      <c r="F6" s="36">
        <v>2025</v>
      </c>
      <c r="G6" s="201" t="s">
        <v>2436</v>
      </c>
    </row>
    <row r="7" spans="2:7" ht="15" customHeight="1" x14ac:dyDescent="0.35">
      <c r="B7" s="34">
        <v>3</v>
      </c>
      <c r="C7" t="s">
        <v>2437</v>
      </c>
      <c r="D7" s="35">
        <v>6.5</v>
      </c>
      <c r="E7" s="2" t="s">
        <v>2435</v>
      </c>
      <c r="F7" s="36">
        <v>2024</v>
      </c>
      <c r="G7" s="201" t="s">
        <v>2438</v>
      </c>
    </row>
    <row r="8" spans="2:7" ht="15" customHeight="1" x14ac:dyDescent="0.35">
      <c r="B8" s="34">
        <v>4</v>
      </c>
      <c r="C8" t="s">
        <v>2439</v>
      </c>
      <c r="D8" s="35">
        <v>900</v>
      </c>
      <c r="E8" s="2" t="s">
        <v>2440</v>
      </c>
      <c r="F8" s="36">
        <v>2025</v>
      </c>
      <c r="G8" s="201" t="s">
        <v>2441</v>
      </c>
    </row>
    <row r="9" spans="2:7" ht="15" customHeight="1" x14ac:dyDescent="0.35">
      <c r="B9" s="34">
        <v>5</v>
      </c>
      <c r="C9" t="s">
        <v>2442</v>
      </c>
      <c r="D9" s="35">
        <v>900</v>
      </c>
      <c r="E9" s="2" t="s">
        <v>2440</v>
      </c>
      <c r="F9" s="36">
        <v>2025</v>
      </c>
      <c r="G9" s="201" t="s">
        <v>2443</v>
      </c>
    </row>
    <row r="10" spans="2:7" ht="15" customHeight="1" x14ac:dyDescent="0.35">
      <c r="B10" s="34">
        <v>6</v>
      </c>
      <c r="C10" t="s">
        <v>2444</v>
      </c>
      <c r="D10" s="35">
        <v>1990</v>
      </c>
      <c r="E10" s="2" t="s">
        <v>2440</v>
      </c>
      <c r="F10" s="36">
        <v>2032</v>
      </c>
      <c r="G10" s="201" t="s">
        <v>2443</v>
      </c>
    </row>
    <row r="11" spans="2:7" ht="15" customHeight="1" x14ac:dyDescent="0.35">
      <c r="B11" s="34">
        <v>7</v>
      </c>
      <c r="C11" t="s">
        <v>2445</v>
      </c>
      <c r="D11" s="35">
        <v>99.83</v>
      </c>
      <c r="E11" s="2" t="s">
        <v>1385</v>
      </c>
      <c r="F11" s="36">
        <v>2024</v>
      </c>
      <c r="G11" s="201" t="s">
        <v>2446</v>
      </c>
    </row>
    <row r="12" spans="2:7" ht="15" customHeight="1" x14ac:dyDescent="0.35">
      <c r="B12" s="34">
        <v>8</v>
      </c>
      <c r="C12" t="s">
        <v>2447</v>
      </c>
      <c r="D12" s="35">
        <v>5200</v>
      </c>
      <c r="E12" s="2" t="s">
        <v>1466</v>
      </c>
      <c r="F12" s="36">
        <v>2024</v>
      </c>
      <c r="G12" s="201" t="s">
        <v>2448</v>
      </c>
    </row>
    <row r="13" spans="2:7" ht="15" customHeight="1" x14ac:dyDescent="0.35">
      <c r="B13" s="34">
        <v>9</v>
      </c>
      <c r="C13" t="s">
        <v>2449</v>
      </c>
      <c r="D13" s="35">
        <v>2.7</v>
      </c>
      <c r="E13" s="2" t="s">
        <v>2450</v>
      </c>
      <c r="F13" s="36">
        <v>2024</v>
      </c>
      <c r="G13" s="201" t="s">
        <v>1401</v>
      </c>
    </row>
    <row r="14" spans="2:7" ht="15" customHeight="1" x14ac:dyDescent="0.35">
      <c r="B14" s="34">
        <v>10</v>
      </c>
      <c r="C14" t="s">
        <v>2451</v>
      </c>
      <c r="D14" s="35">
        <v>60</v>
      </c>
      <c r="E14" s="2" t="s">
        <v>1385</v>
      </c>
      <c r="F14" s="36">
        <v>2025</v>
      </c>
      <c r="G14" s="201" t="s">
        <v>2452</v>
      </c>
    </row>
    <row r="17" spans="2:6" ht="15" customHeight="1" x14ac:dyDescent="0.35">
      <c r="B17" s="485" t="s">
        <v>2453</v>
      </c>
      <c r="C17" s="485"/>
      <c r="D17" s="485"/>
      <c r="E17" s="485"/>
      <c r="F17" s="485"/>
    </row>
    <row r="18" spans="2:6" ht="15" customHeight="1" x14ac:dyDescent="0.35">
      <c r="B18" s="15" t="s">
        <v>2454</v>
      </c>
      <c r="C18" s="15" t="s">
        <v>2455</v>
      </c>
      <c r="D18" s="15" t="s">
        <v>2456</v>
      </c>
      <c r="E18" s="15" t="s">
        <v>2457</v>
      </c>
      <c r="F18" s="15" t="s">
        <v>1378</v>
      </c>
    </row>
    <row r="19" spans="2:6" ht="15" customHeight="1" x14ac:dyDescent="0.35">
      <c r="B19" t="s">
        <v>2458</v>
      </c>
      <c r="C19" s="35">
        <v>0.94</v>
      </c>
      <c r="D19" s="35">
        <v>3.85</v>
      </c>
      <c r="E19" s="17">
        <v>0.32519999999999999</v>
      </c>
      <c r="F19" s="201" t="s">
        <v>2459</v>
      </c>
    </row>
    <row r="20" spans="2:6" ht="15" customHeight="1" x14ac:dyDescent="0.35">
      <c r="B20" t="s">
        <v>2460</v>
      </c>
      <c r="C20" s="35">
        <v>1.46</v>
      </c>
      <c r="D20" s="35">
        <v>13</v>
      </c>
      <c r="E20" s="17">
        <v>0.32600000000000001</v>
      </c>
      <c r="F20" s="201" t="s">
        <v>2461</v>
      </c>
    </row>
    <row r="21" spans="2:6" ht="15" customHeight="1" x14ac:dyDescent="0.35">
      <c r="B21" t="s">
        <v>2462</v>
      </c>
      <c r="C21" s="35">
        <v>1.2</v>
      </c>
      <c r="D21" s="35">
        <v>4.7</v>
      </c>
      <c r="E21" s="17">
        <v>0.255</v>
      </c>
      <c r="F21" s="201" t="s">
        <v>2463</v>
      </c>
    </row>
    <row r="22" spans="2:6" ht="15" customHeight="1" x14ac:dyDescent="0.35">
      <c r="B22" t="s">
        <v>2464</v>
      </c>
      <c r="C22" s="35">
        <v>0.74</v>
      </c>
      <c r="D22" s="35">
        <v>3.2</v>
      </c>
      <c r="E22" s="17">
        <v>0.27610000000000001</v>
      </c>
      <c r="F22" s="201" t="s">
        <v>2459</v>
      </c>
    </row>
    <row r="23" spans="2:6" ht="15" customHeight="1" x14ac:dyDescent="0.35">
      <c r="B23" t="s">
        <v>2465</v>
      </c>
      <c r="C23" s="35">
        <v>4.9000000000000004</v>
      </c>
      <c r="D23" s="35">
        <v>0</v>
      </c>
      <c r="E23" s="17">
        <v>0</v>
      </c>
      <c r="F23" s="201" t="s">
        <v>2466</v>
      </c>
    </row>
    <row r="24" spans="2:6" ht="15" customHeight="1" x14ac:dyDescent="0.35">
      <c r="B24" t="s">
        <v>2467</v>
      </c>
      <c r="C24" s="35">
        <v>0.9</v>
      </c>
      <c r="D24" s="35">
        <v>4.5</v>
      </c>
      <c r="E24" s="17">
        <v>0.38</v>
      </c>
      <c r="F24" s="201" t="s">
        <v>2468</v>
      </c>
    </row>
  </sheetData>
  <mergeCells count="3">
    <mergeCell ref="B1:F1"/>
    <mergeCell ref="B3:F3"/>
    <mergeCell ref="B17:F17"/>
  </mergeCells>
  <hyperlinks>
    <hyperlink ref="G5" r:id="rId1" tooltip="https://www.bps.go.id/" xr:uid="{5E78B71E-8866-4818-A3D1-7B7539D9DF8F}"/>
    <hyperlink ref="G6" r:id="rId2" tooltip="https://www.tycorun.com/blogs/news/indonesia-ev-market" xr:uid="{3402DD57-FBDB-4BE6-8606-154707875F10}"/>
    <hyperlink ref="G7" r:id="rId3" tooltip="https://www.motorcyclesdata.com/" xr:uid="{DCC255C1-C0DD-4BDD-86E7-BBCC3B1C6093}"/>
    <hyperlink ref="G8" r:id="rId4" tooltip="https://www.tycorun.com/blogs/news/indonesia-ev-market" xr:uid="{32BC86F4-E6BA-45E7-8088-471B21F2B139}"/>
    <hyperlink ref="G9" r:id="rId5" tooltip="https://www.psmarketresearch.com/market-analysis/ev-battery-market" xr:uid="{EFD47E78-2987-405D-A30D-49E7AFD7C4D1}"/>
    <hyperlink ref="G10" r:id="rId6" tooltip="https://www.psmarketresearch.com/market-analysis/ev-battery-market" xr:uid="{800F91CA-6B2B-4628-85EE-89445B0070B0}"/>
    <hyperlink ref="G11" r:id="rId7" tooltip="https://web.pln.co.id/en" xr:uid="{25022AAE-5CEA-424A-81C1-8E933CD66CCF}"/>
    <hyperlink ref="G12" r:id="rId8" tooltip="https://ieefa.org/topics/indonesia" xr:uid="{89C16DB4-3859-46B5-9C78-3314D341D85E}"/>
    <hyperlink ref="G13" r:id="rId9" tooltip="https://ieefa.org/topics/indonesia" xr:uid="{13A5C974-5B15-49C3-B204-989518EB5849}"/>
    <hyperlink ref="G14" r:id="rId10" tooltip="https://www.itdp.org/where-we-work/indonesia/" xr:uid="{A9C4402C-C691-42A1-B3EF-CE845B7EC474}"/>
    <hyperlink ref="F19" r:id="rId11" tooltip="https://www.mordorintelligence.com/industry-reports/southeast-asia-battery-swapping-market" xr:uid="{C5606472-8DFE-474E-97F7-1D6973E01B56}"/>
    <hyperlink ref="F20" r:id="rId12" tooltip="https://www.coherentmarketinsights.com/market-insight/battery-swapping-market-5765" xr:uid="{64ED77CD-4E96-4F8A-8E30-FFE609105FA7}"/>
    <hyperlink ref="F21" r:id="rId13" tooltip="https://www.marketsandmarkets.com/Market-Reports/second-life-ev-battery-market-69784793.html" xr:uid="{B4B0B644-D742-4349-9F9D-8E6C9BB31932}"/>
    <hyperlink ref="F22" r:id="rId14" tooltip="https://www.mordorintelligence.com/industry-reports/battery-as-a-service-market" xr:uid="{8CEB04A2-52B1-420C-8EAC-C3A245536173}"/>
    <hyperlink ref="F23" r:id="rId15" tooltip="https://ieefa.org/topics/indonesia" xr:uid="{45127B93-64F0-4048-B6F4-6DA74CD5C5A3}"/>
    <hyperlink ref="F24" r:id="rId16" tooltip="https://www.tycorun.com/blogs/news/indonesia-ev-market" xr:uid="{3974C017-F7C0-4428-9427-3F8432ADFA0B}"/>
  </hyperlinks>
  <pageMargins left="0.75" right="0.75" top="1" bottom="1"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A2540"/>
  </sheetPr>
  <dimension ref="A1:H29"/>
  <sheetViews>
    <sheetView zoomScaleNormal="100" workbookViewId="0">
      <selection activeCell="G5" sqref="G5"/>
    </sheetView>
  </sheetViews>
  <sheetFormatPr defaultColWidth="8.54296875" defaultRowHeight="14.5" x14ac:dyDescent="0.35"/>
  <cols>
    <col min="1" max="1" width="4" customWidth="1"/>
    <col min="2" max="2" width="28" customWidth="1"/>
    <col min="3" max="6" width="18" customWidth="1"/>
    <col min="7" max="7" width="30" customWidth="1"/>
  </cols>
  <sheetData>
    <row r="1" spans="2:8" ht="30" customHeight="1" x14ac:dyDescent="0.35">
      <c r="B1" s="487" t="s">
        <v>2469</v>
      </c>
      <c r="C1" s="487"/>
      <c r="D1" s="487"/>
      <c r="E1" s="487"/>
      <c r="F1" s="487"/>
      <c r="G1" s="487"/>
    </row>
    <row r="3" spans="2:8" ht="15" customHeight="1" x14ac:dyDescent="0.35">
      <c r="B3" s="485" t="s">
        <v>2470</v>
      </c>
      <c r="C3" s="485"/>
      <c r="D3" s="485"/>
      <c r="E3" s="485"/>
      <c r="F3" s="485"/>
      <c r="G3" s="485"/>
    </row>
    <row r="4" spans="2:8" ht="15" customHeight="1" x14ac:dyDescent="0.35">
      <c r="B4" s="15" t="s">
        <v>820</v>
      </c>
      <c r="C4" s="15" t="s">
        <v>2471</v>
      </c>
      <c r="D4" s="15" t="s">
        <v>2472</v>
      </c>
      <c r="E4" s="15" t="s">
        <v>2473</v>
      </c>
      <c r="F4" s="15" t="s">
        <v>2474</v>
      </c>
      <c r="G4" s="15" t="s">
        <v>2475</v>
      </c>
      <c r="H4" s="15" t="s">
        <v>2476</v>
      </c>
    </row>
    <row r="5" spans="2:8" ht="15" customHeight="1" x14ac:dyDescent="0.35">
      <c r="B5" s="34">
        <v>1</v>
      </c>
      <c r="C5" s="1" t="s">
        <v>2477</v>
      </c>
      <c r="D5" s="25">
        <v>800000</v>
      </c>
      <c r="E5" s="37">
        <v>500000</v>
      </c>
      <c r="F5" s="38">
        <v>12</v>
      </c>
      <c r="G5" s="39">
        <f>D5*E5*F5</f>
        <v>4800000000000</v>
      </c>
      <c r="H5" s="5" t="s">
        <v>2478</v>
      </c>
    </row>
    <row r="6" spans="2:8" ht="15" customHeight="1" x14ac:dyDescent="0.35">
      <c r="B6" s="34">
        <v>2</v>
      </c>
      <c r="C6" s="1" t="s">
        <v>2479</v>
      </c>
      <c r="D6" s="25">
        <v>960000</v>
      </c>
      <c r="E6" s="37">
        <v>150000</v>
      </c>
      <c r="F6" s="38">
        <v>12</v>
      </c>
      <c r="G6" s="39">
        <f>D6*E6*F6</f>
        <v>1728000000000</v>
      </c>
      <c r="H6" s="5" t="s">
        <v>2480</v>
      </c>
    </row>
    <row r="7" spans="2:8" ht="15" customHeight="1" x14ac:dyDescent="0.35">
      <c r="B7" s="34">
        <v>3</v>
      </c>
      <c r="C7" s="1" t="s">
        <v>2481</v>
      </c>
      <c r="D7" s="25">
        <v>100000</v>
      </c>
      <c r="E7" s="37">
        <v>600000</v>
      </c>
      <c r="F7" s="38">
        <v>12</v>
      </c>
      <c r="G7" s="39">
        <f>D7*E7*F7</f>
        <v>720000000000</v>
      </c>
      <c r="H7" s="5" t="s">
        <v>2482</v>
      </c>
    </row>
    <row r="8" spans="2:8" ht="15" customHeight="1" x14ac:dyDescent="0.35">
      <c r="B8" s="34">
        <v>4</v>
      </c>
      <c r="C8" s="1" t="s">
        <v>2483</v>
      </c>
      <c r="D8" s="25">
        <v>200000</v>
      </c>
      <c r="E8" s="37">
        <v>7500</v>
      </c>
      <c r="F8" s="38">
        <v>12</v>
      </c>
      <c r="G8" s="39">
        <f>D8*E8*F8</f>
        <v>18000000000</v>
      </c>
      <c r="H8" s="5" t="s">
        <v>2484</v>
      </c>
    </row>
    <row r="9" spans="2:8" ht="15" customHeight="1" x14ac:dyDescent="0.35">
      <c r="B9" s="34">
        <v>5</v>
      </c>
      <c r="C9" s="1" t="s">
        <v>2485</v>
      </c>
      <c r="D9" s="25">
        <v>5000000</v>
      </c>
      <c r="E9" s="37">
        <v>8000</v>
      </c>
      <c r="F9" s="38">
        <v>12</v>
      </c>
      <c r="G9" s="39">
        <f>D9*E9*F9</f>
        <v>480000000000</v>
      </c>
      <c r="H9" s="5" t="s">
        <v>2486</v>
      </c>
    </row>
    <row r="10" spans="2:8" ht="15" customHeight="1" x14ac:dyDescent="0.35">
      <c r="C10" s="1" t="s">
        <v>2487</v>
      </c>
      <c r="G10" s="40">
        <f>SUM(G5:G9)</f>
        <v>7746000000000</v>
      </c>
    </row>
    <row r="12" spans="2:8" ht="15" customHeight="1" x14ac:dyDescent="0.35">
      <c r="B12" s="485" t="s">
        <v>2488</v>
      </c>
      <c r="C12" s="485"/>
      <c r="D12" s="485"/>
      <c r="E12" s="485"/>
      <c r="F12" s="485"/>
      <c r="G12" s="485"/>
    </row>
    <row r="13" spans="2:8" ht="15" customHeight="1" x14ac:dyDescent="0.35">
      <c r="B13" s="15" t="s">
        <v>2489</v>
      </c>
      <c r="C13" s="15" t="s">
        <v>2490</v>
      </c>
      <c r="D13" s="15" t="s">
        <v>2491</v>
      </c>
      <c r="E13" s="15" t="s">
        <v>2429</v>
      </c>
      <c r="F13" s="15"/>
      <c r="G13" s="15"/>
      <c r="H13" s="15"/>
    </row>
    <row r="14" spans="2:8" ht="15" customHeight="1" x14ac:dyDescent="0.35">
      <c r="B14" s="1" t="s">
        <v>268</v>
      </c>
      <c r="C14" t="s">
        <v>2492</v>
      </c>
      <c r="D14" s="17">
        <v>1</v>
      </c>
      <c r="E14" s="12">
        <f>G10</f>
        <v>7746000000000</v>
      </c>
    </row>
    <row r="15" spans="2:8" ht="15" customHeight="1" x14ac:dyDescent="0.35">
      <c r="B15" s="1" t="s">
        <v>269</v>
      </c>
      <c r="C15" t="s">
        <v>2493</v>
      </c>
      <c r="D15" s="23">
        <v>0.35</v>
      </c>
      <c r="E15" s="39">
        <f>E14*D15</f>
        <v>2711100000000</v>
      </c>
    </row>
    <row r="16" spans="2:8" ht="15" customHeight="1" x14ac:dyDescent="0.35">
      <c r="B16" s="27" t="s">
        <v>2494</v>
      </c>
      <c r="C16" t="s">
        <v>2495</v>
      </c>
      <c r="D16" s="23">
        <v>1.0699999999999999E-2</v>
      </c>
      <c r="E16" s="40">
        <f>E15*D16</f>
        <v>29008770000</v>
      </c>
    </row>
    <row r="19" spans="1:7" ht="15" customHeight="1" x14ac:dyDescent="0.35">
      <c r="B19" s="485" t="s">
        <v>2496</v>
      </c>
      <c r="C19" s="485"/>
      <c r="D19" s="485"/>
      <c r="E19" s="485"/>
      <c r="F19" s="485"/>
      <c r="G19" s="485"/>
    </row>
    <row r="20" spans="1:7" ht="15" customHeight="1" x14ac:dyDescent="0.35">
      <c r="B20" t="s">
        <v>2497</v>
      </c>
      <c r="D20" s="16">
        <v>20000000000000</v>
      </c>
      <c r="E20" s="17">
        <v>0.41699999999999998</v>
      </c>
    </row>
    <row r="21" spans="1:7" ht="15" customHeight="1" x14ac:dyDescent="0.35">
      <c r="B21" t="s">
        <v>2498</v>
      </c>
      <c r="D21" s="16">
        <v>10000000000000</v>
      </c>
      <c r="E21" s="17">
        <v>0.20799999999999999</v>
      </c>
    </row>
    <row r="22" spans="1:7" ht="15" customHeight="1" x14ac:dyDescent="0.35">
      <c r="B22" t="s">
        <v>2499</v>
      </c>
      <c r="D22" s="16">
        <v>18000000000000</v>
      </c>
      <c r="E22" s="17">
        <v>0.375</v>
      </c>
    </row>
    <row r="23" spans="1:7" ht="15" customHeight="1" x14ac:dyDescent="0.35">
      <c r="B23" s="1" t="s">
        <v>2500</v>
      </c>
      <c r="D23" s="40">
        <f>SUM(D20:D22)</f>
        <v>48000000000000</v>
      </c>
    </row>
    <row r="26" spans="1:7" x14ac:dyDescent="0.35">
      <c r="A26" s="350" t="s">
        <v>4912</v>
      </c>
    </row>
    <row r="27" spans="1:7" x14ac:dyDescent="0.35">
      <c r="A27" s="346" t="s">
        <v>4913</v>
      </c>
    </row>
    <row r="28" spans="1:7" x14ac:dyDescent="0.35">
      <c r="A28" s="346" t="s">
        <v>4914</v>
      </c>
    </row>
    <row r="29" spans="1:7" x14ac:dyDescent="0.35">
      <c r="A29" s="429" t="s">
        <v>4915</v>
      </c>
    </row>
  </sheetData>
  <mergeCells count="4">
    <mergeCell ref="B1:G1"/>
    <mergeCell ref="B3:G3"/>
    <mergeCell ref="B12:G12"/>
    <mergeCell ref="B19:G19"/>
  </mergeCells>
  <pageMargins left="0.75" right="0.75" top="1" bottom="1" header="0.511811023622047" footer="0.511811023622047"/>
  <pageSetup paperSize="9" orientation="portrait" horizontalDpi="300" verticalDpi="300"/>
  <legacy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A2540"/>
  </sheetPr>
  <dimension ref="B1:H10"/>
  <sheetViews>
    <sheetView topLeftCell="D1" zoomScaleNormal="100" workbookViewId="0"/>
  </sheetViews>
  <sheetFormatPr defaultColWidth="8.54296875" defaultRowHeight="14.5" x14ac:dyDescent="0.35"/>
  <cols>
    <col min="1" max="1" width="4" customWidth="1"/>
    <col min="2" max="2" width="28" customWidth="1"/>
    <col min="3" max="3" width="46.81640625" customWidth="1"/>
    <col min="4" max="4" width="39.81640625" customWidth="1"/>
    <col min="5" max="5" width="45.54296875" customWidth="1"/>
    <col min="6" max="6" width="22" customWidth="1"/>
    <col min="7" max="7" width="37.1796875" customWidth="1"/>
    <col min="8" max="8" width="25.54296875" customWidth="1"/>
  </cols>
  <sheetData>
    <row r="1" spans="2:8" ht="30" customHeight="1" x14ac:dyDescent="0.35">
      <c r="B1" s="487" t="s">
        <v>2501</v>
      </c>
      <c r="C1" s="487"/>
      <c r="D1" s="487"/>
      <c r="E1" s="487"/>
      <c r="F1" s="487"/>
      <c r="G1" s="487"/>
    </row>
    <row r="3" spans="2:8" ht="15" customHeight="1" x14ac:dyDescent="0.35">
      <c r="B3" s="15" t="s">
        <v>820</v>
      </c>
      <c r="C3" s="15" t="s">
        <v>2502</v>
      </c>
      <c r="D3" s="15" t="s">
        <v>2503</v>
      </c>
      <c r="E3" s="15" t="s">
        <v>2504</v>
      </c>
      <c r="F3" s="15" t="s">
        <v>2505</v>
      </c>
      <c r="G3" s="15" t="s">
        <v>2506</v>
      </c>
      <c r="H3" s="15" t="s">
        <v>2507</v>
      </c>
    </row>
    <row r="4" spans="2:8" x14ac:dyDescent="0.35">
      <c r="B4" s="41" t="s">
        <v>2374</v>
      </c>
      <c r="C4" s="42" t="s">
        <v>2508</v>
      </c>
      <c r="D4" s="43" t="s">
        <v>2509</v>
      </c>
      <c r="E4" s="43" t="s">
        <v>2510</v>
      </c>
      <c r="F4" s="43" t="s">
        <v>2511</v>
      </c>
      <c r="G4" s="43" t="s">
        <v>2512</v>
      </c>
      <c r="H4" s="43" t="s">
        <v>2513</v>
      </c>
    </row>
    <row r="5" spans="2:8" x14ac:dyDescent="0.35">
      <c r="B5" s="41" t="s">
        <v>2380</v>
      </c>
      <c r="C5" s="42" t="s">
        <v>2514</v>
      </c>
      <c r="D5" s="43" t="s">
        <v>2515</v>
      </c>
      <c r="E5" s="43" t="s">
        <v>2516</v>
      </c>
      <c r="F5" s="43" t="s">
        <v>2517</v>
      </c>
      <c r="G5" s="43" t="s">
        <v>2518</v>
      </c>
      <c r="H5" s="43" t="s">
        <v>2519</v>
      </c>
    </row>
    <row r="6" spans="2:8" x14ac:dyDescent="0.35">
      <c r="B6" s="41" t="s">
        <v>2385</v>
      </c>
      <c r="C6" s="42" t="s">
        <v>2520</v>
      </c>
      <c r="D6" s="43" t="s">
        <v>2521</v>
      </c>
      <c r="E6" s="43" t="s">
        <v>2522</v>
      </c>
      <c r="F6" s="43" t="s">
        <v>2523</v>
      </c>
      <c r="G6" s="43" t="s">
        <v>2524</v>
      </c>
      <c r="H6" s="43" t="s">
        <v>2525</v>
      </c>
    </row>
    <row r="7" spans="2:8" x14ac:dyDescent="0.35">
      <c r="B7" s="41" t="s">
        <v>2390</v>
      </c>
      <c r="C7" s="42" t="s">
        <v>2526</v>
      </c>
      <c r="D7" s="43" t="s">
        <v>2527</v>
      </c>
      <c r="E7" s="43" t="s">
        <v>2528</v>
      </c>
      <c r="F7" s="43" t="s">
        <v>2529</v>
      </c>
      <c r="G7" s="43" t="s">
        <v>2530</v>
      </c>
      <c r="H7" s="43" t="s">
        <v>2531</v>
      </c>
    </row>
    <row r="8" spans="2:8" x14ac:dyDescent="0.35">
      <c r="B8" s="41" t="s">
        <v>2396</v>
      </c>
      <c r="C8" s="42" t="s">
        <v>2532</v>
      </c>
      <c r="D8" s="43" t="s">
        <v>2533</v>
      </c>
      <c r="E8" s="43" t="s">
        <v>2534</v>
      </c>
      <c r="F8" s="43" t="s">
        <v>2535</v>
      </c>
      <c r="G8" s="43" t="s">
        <v>2536</v>
      </c>
      <c r="H8" s="43" t="s">
        <v>2537</v>
      </c>
    </row>
    <row r="9" spans="2:8" x14ac:dyDescent="0.35">
      <c r="B9" s="41" t="s">
        <v>2400</v>
      </c>
      <c r="C9" s="42" t="s">
        <v>2538</v>
      </c>
      <c r="D9" s="43" t="s">
        <v>2539</v>
      </c>
      <c r="E9" s="43" t="s">
        <v>2540</v>
      </c>
      <c r="F9" s="43" t="s">
        <v>2541</v>
      </c>
      <c r="G9" s="43" t="s">
        <v>2542</v>
      </c>
      <c r="H9" s="43" t="s">
        <v>2543</v>
      </c>
    </row>
    <row r="10" spans="2:8" x14ac:dyDescent="0.35">
      <c r="B10" s="41" t="s">
        <v>2544</v>
      </c>
      <c r="C10" s="42" t="s">
        <v>2545</v>
      </c>
      <c r="D10" s="43" t="s">
        <v>2546</v>
      </c>
      <c r="E10" s="43" t="s">
        <v>2547</v>
      </c>
      <c r="F10" s="43" t="s">
        <v>2548</v>
      </c>
      <c r="G10" s="43" t="s">
        <v>2549</v>
      </c>
      <c r="H10" s="43" t="s">
        <v>2550</v>
      </c>
    </row>
  </sheetData>
  <mergeCells count="1">
    <mergeCell ref="B1:G1"/>
  </mergeCells>
  <pageMargins left="0.75" right="0.75" top="1" bottom="1"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A2540"/>
  </sheetPr>
  <dimension ref="B1:K21"/>
  <sheetViews>
    <sheetView topLeftCell="D1" zoomScaleNormal="100" workbookViewId="0">
      <selection activeCell="J16" sqref="J16:J20"/>
    </sheetView>
  </sheetViews>
  <sheetFormatPr defaultColWidth="8.54296875" defaultRowHeight="14.5" x14ac:dyDescent="0.35"/>
  <cols>
    <col min="1" max="1" width="4" customWidth="1"/>
    <col min="2" max="2" width="22" customWidth="1"/>
    <col min="3" max="3" width="12" customWidth="1"/>
    <col min="4" max="4" width="12.453125" bestFit="1" customWidth="1"/>
    <col min="5" max="5" width="47.26953125" customWidth="1"/>
    <col min="6" max="6" width="32.7265625" customWidth="1"/>
    <col min="7" max="7" width="12" customWidth="1"/>
    <col min="8" max="8" width="14" customWidth="1"/>
    <col min="9" max="9" width="22" customWidth="1"/>
    <col min="10" max="10" width="25.1796875" customWidth="1"/>
    <col min="11" max="11" width="32.7265625" customWidth="1"/>
  </cols>
  <sheetData>
    <row r="1" spans="2:11" ht="30" customHeight="1" x14ac:dyDescent="0.35">
      <c r="B1" s="487" t="s">
        <v>2551</v>
      </c>
      <c r="C1" s="487"/>
      <c r="D1" s="487"/>
      <c r="E1" s="487"/>
      <c r="F1" s="487"/>
      <c r="G1" s="487"/>
      <c r="H1" s="487"/>
      <c r="I1" s="487"/>
    </row>
    <row r="3" spans="2:11" ht="15" customHeight="1" x14ac:dyDescent="0.35">
      <c r="B3" s="15" t="s">
        <v>820</v>
      </c>
      <c r="C3" s="15" t="s">
        <v>2552</v>
      </c>
      <c r="D3" s="15" t="s">
        <v>2553</v>
      </c>
      <c r="E3" s="15" t="s">
        <v>2554</v>
      </c>
      <c r="F3" s="15" t="s">
        <v>2555</v>
      </c>
      <c r="G3" s="15" t="s">
        <v>2556</v>
      </c>
      <c r="H3" s="15" t="s">
        <v>2557</v>
      </c>
      <c r="I3" s="15" t="s">
        <v>2558</v>
      </c>
      <c r="J3" s="15" t="s">
        <v>2559</v>
      </c>
      <c r="K3" s="311" t="s">
        <v>193</v>
      </c>
    </row>
    <row r="4" spans="2:11" ht="15" customHeight="1" x14ac:dyDescent="0.35">
      <c r="B4" s="32" t="s">
        <v>2374</v>
      </c>
      <c r="C4" s="32" t="s">
        <v>2560</v>
      </c>
      <c r="D4" s="32" t="s">
        <v>2561</v>
      </c>
      <c r="E4" s="32" t="s">
        <v>2562</v>
      </c>
      <c r="F4" s="32" t="s">
        <v>2563</v>
      </c>
      <c r="G4" s="32" t="s">
        <v>2562</v>
      </c>
      <c r="H4" s="32" t="s">
        <v>2564</v>
      </c>
      <c r="I4" s="32" t="s">
        <v>2565</v>
      </c>
      <c r="J4" s="32" t="s">
        <v>2566</v>
      </c>
      <c r="K4" s="32" t="s">
        <v>2567</v>
      </c>
    </row>
    <row r="5" spans="2:11" ht="15" customHeight="1" x14ac:dyDescent="0.35">
      <c r="B5" s="27" t="s">
        <v>2380</v>
      </c>
      <c r="C5" s="1" t="s">
        <v>2568</v>
      </c>
      <c r="D5" s="2" t="s">
        <v>2569</v>
      </c>
      <c r="E5" s="2" t="s">
        <v>1481</v>
      </c>
      <c r="F5" s="2" t="s">
        <v>1481</v>
      </c>
      <c r="G5" s="2" t="s">
        <v>2417</v>
      </c>
      <c r="H5" s="2" t="s">
        <v>1481</v>
      </c>
      <c r="I5" s="2" t="s">
        <v>2570</v>
      </c>
      <c r="J5" s="2" t="s">
        <v>2571</v>
      </c>
      <c r="K5" s="201" t="s">
        <v>2572</v>
      </c>
    </row>
    <row r="6" spans="2:11" ht="15" customHeight="1" x14ac:dyDescent="0.35">
      <c r="B6" s="27" t="s">
        <v>2385</v>
      </c>
      <c r="C6" s="1" t="s">
        <v>2573</v>
      </c>
      <c r="D6" s="2" t="s">
        <v>2569</v>
      </c>
      <c r="E6" s="2" t="s">
        <v>1481</v>
      </c>
      <c r="F6" s="2" t="s">
        <v>1481</v>
      </c>
      <c r="G6" s="2" t="s">
        <v>1481</v>
      </c>
      <c r="H6" s="2" t="s">
        <v>2416</v>
      </c>
      <c r="I6" s="2" t="s">
        <v>2565</v>
      </c>
      <c r="J6" s="2" t="s">
        <v>2574</v>
      </c>
      <c r="K6" s="201" t="s">
        <v>2575</v>
      </c>
    </row>
    <row r="7" spans="2:11" ht="15" customHeight="1" x14ac:dyDescent="0.35">
      <c r="B7" s="27" t="s">
        <v>2390</v>
      </c>
      <c r="C7" s="1" t="s">
        <v>2576</v>
      </c>
      <c r="D7" s="2" t="s">
        <v>2577</v>
      </c>
      <c r="E7" s="2" t="s">
        <v>1481</v>
      </c>
      <c r="F7" s="2" t="s">
        <v>1481</v>
      </c>
      <c r="G7" s="2" t="s">
        <v>1481</v>
      </c>
      <c r="H7" s="2" t="s">
        <v>2416</v>
      </c>
      <c r="I7" s="2" t="s">
        <v>2565</v>
      </c>
      <c r="J7" s="2" t="s">
        <v>2578</v>
      </c>
      <c r="K7" s="201" t="s">
        <v>2579</v>
      </c>
    </row>
    <row r="8" spans="2:11" ht="15" customHeight="1" x14ac:dyDescent="0.35">
      <c r="B8" s="27" t="s">
        <v>2396</v>
      </c>
      <c r="C8" s="1" t="s">
        <v>2580</v>
      </c>
      <c r="D8" s="2" t="s">
        <v>2581</v>
      </c>
      <c r="E8" s="2" t="s">
        <v>1481</v>
      </c>
      <c r="F8" s="2" t="s">
        <v>1481</v>
      </c>
      <c r="G8" s="2" t="s">
        <v>1481</v>
      </c>
      <c r="H8" s="2" t="s">
        <v>2582</v>
      </c>
      <c r="I8" s="2" t="s">
        <v>1481</v>
      </c>
      <c r="J8" s="2" t="s">
        <v>2583</v>
      </c>
      <c r="K8" s="310" t="s">
        <v>2584</v>
      </c>
    </row>
    <row r="9" spans="2:11" ht="15" customHeight="1" x14ac:dyDescent="0.35">
      <c r="B9" s="27" t="s">
        <v>2400</v>
      </c>
      <c r="C9" s="1" t="s">
        <v>2585</v>
      </c>
      <c r="D9" s="2" t="s">
        <v>1481</v>
      </c>
      <c r="E9" s="2" t="s">
        <v>2562</v>
      </c>
      <c r="F9" s="2" t="s">
        <v>1481</v>
      </c>
      <c r="G9" s="2" t="s">
        <v>2586</v>
      </c>
      <c r="H9" s="2" t="s">
        <v>1481</v>
      </c>
      <c r="I9" s="2" t="s">
        <v>1481</v>
      </c>
      <c r="J9" s="2" t="s">
        <v>2587</v>
      </c>
      <c r="K9" s="310" t="s">
        <v>1457</v>
      </c>
    </row>
    <row r="10" spans="2:11" ht="15" customHeight="1" x14ac:dyDescent="0.35">
      <c r="B10" s="27" t="s">
        <v>2544</v>
      </c>
      <c r="C10" s="1" t="s">
        <v>2588</v>
      </c>
      <c r="D10" s="2" t="s">
        <v>1481</v>
      </c>
      <c r="E10" s="2" t="s">
        <v>2589</v>
      </c>
      <c r="F10" s="2" t="s">
        <v>2590</v>
      </c>
      <c r="G10" s="2" t="s">
        <v>2590</v>
      </c>
      <c r="H10" s="2" t="s">
        <v>1481</v>
      </c>
      <c r="I10" s="2" t="s">
        <v>1481</v>
      </c>
      <c r="J10" s="2" t="s">
        <v>2591</v>
      </c>
      <c r="K10" s="310" t="s">
        <v>2588</v>
      </c>
    </row>
    <row r="11" spans="2:11" ht="15" customHeight="1" x14ac:dyDescent="0.35">
      <c r="B11" s="27" t="s">
        <v>2592</v>
      </c>
      <c r="C11" s="1" t="s">
        <v>2593</v>
      </c>
      <c r="D11" s="2" t="s">
        <v>2594</v>
      </c>
      <c r="E11" s="2" t="s">
        <v>2590</v>
      </c>
      <c r="F11" s="2" t="s">
        <v>2590</v>
      </c>
      <c r="G11" s="2" t="s">
        <v>2590</v>
      </c>
      <c r="H11" s="2" t="s">
        <v>1481</v>
      </c>
      <c r="I11" s="2" t="s">
        <v>2595</v>
      </c>
      <c r="J11" s="2" t="s">
        <v>2591</v>
      </c>
      <c r="K11" s="310" t="s">
        <v>2596</v>
      </c>
    </row>
    <row r="12" spans="2:11" ht="15" customHeight="1" x14ac:dyDescent="0.35">
      <c r="B12" s="27" t="s">
        <v>2597</v>
      </c>
      <c r="C12" s="1" t="s">
        <v>2598</v>
      </c>
      <c r="D12" s="2" t="s">
        <v>2599</v>
      </c>
      <c r="E12" s="2" t="s">
        <v>2590</v>
      </c>
      <c r="F12" s="2" t="s">
        <v>2590</v>
      </c>
      <c r="G12" s="2" t="s">
        <v>2590</v>
      </c>
      <c r="H12" s="2" t="s">
        <v>1481</v>
      </c>
      <c r="I12" s="2" t="s">
        <v>1481</v>
      </c>
      <c r="J12" s="2" t="s">
        <v>2600</v>
      </c>
      <c r="K12" s="310" t="s">
        <v>2601</v>
      </c>
    </row>
    <row r="15" spans="2:11" ht="15" customHeight="1" x14ac:dyDescent="0.35">
      <c r="B15" s="485" t="s">
        <v>2602</v>
      </c>
      <c r="C15" s="485"/>
      <c r="D15" s="485"/>
      <c r="E15" s="485"/>
      <c r="F15" s="485"/>
      <c r="G15" s="485"/>
      <c r="H15" s="485"/>
      <c r="I15" s="485"/>
    </row>
    <row r="16" spans="2:11" ht="15" customHeight="1" x14ac:dyDescent="0.35">
      <c r="B16" s="15" t="s">
        <v>2603</v>
      </c>
      <c r="C16" s="15" t="s">
        <v>2604</v>
      </c>
      <c r="D16" s="313" t="s">
        <v>2605</v>
      </c>
      <c r="E16" s="312" t="s">
        <v>1378</v>
      </c>
      <c r="F16" s="312" t="s">
        <v>193</v>
      </c>
    </row>
    <row r="17" spans="2:9" ht="15" customHeight="1" x14ac:dyDescent="0.35">
      <c r="B17" s="1" t="s">
        <v>2606</v>
      </c>
      <c r="C17" s="44" t="s">
        <v>168</v>
      </c>
      <c r="D17" s="544" t="s">
        <v>2607</v>
      </c>
      <c r="E17" s="545"/>
      <c r="F17" s="546"/>
      <c r="G17" s="544"/>
      <c r="H17" s="544"/>
      <c r="I17" s="544"/>
    </row>
    <row r="18" spans="2:9" ht="15" customHeight="1" x14ac:dyDescent="0.35">
      <c r="B18" s="1" t="s">
        <v>2608</v>
      </c>
      <c r="C18" s="44" t="s">
        <v>2609</v>
      </c>
      <c r="D18" s="544" t="s">
        <v>2610</v>
      </c>
      <c r="E18" s="545"/>
      <c r="F18" s="546"/>
      <c r="G18" s="544"/>
      <c r="H18" s="544"/>
      <c r="I18" s="544"/>
    </row>
    <row r="19" spans="2:9" ht="15" customHeight="1" x14ac:dyDescent="0.35">
      <c r="B19" s="1" t="s">
        <v>2611</v>
      </c>
      <c r="C19" s="45" t="s">
        <v>164</v>
      </c>
      <c r="D19" s="544" t="s">
        <v>2612</v>
      </c>
      <c r="E19" s="545"/>
      <c r="F19" s="546"/>
      <c r="G19" s="544"/>
      <c r="H19" s="544"/>
      <c r="I19" s="544"/>
    </row>
    <row r="20" spans="2:9" ht="15" customHeight="1" x14ac:dyDescent="0.35">
      <c r="B20" s="1" t="s">
        <v>2613</v>
      </c>
      <c r="C20" s="44" t="s">
        <v>168</v>
      </c>
      <c r="D20" s="544" t="s">
        <v>2614</v>
      </c>
      <c r="E20" s="545"/>
      <c r="F20" s="546"/>
      <c r="G20" s="544"/>
      <c r="H20" s="544"/>
      <c r="I20" s="544"/>
    </row>
    <row r="21" spans="2:9" ht="15" customHeight="1" x14ac:dyDescent="0.35">
      <c r="B21" s="1" t="s">
        <v>2615</v>
      </c>
      <c r="C21" s="44" t="s">
        <v>168</v>
      </c>
      <c r="D21" s="544" t="s">
        <v>2616</v>
      </c>
      <c r="E21" s="547"/>
      <c r="F21" s="548"/>
      <c r="G21" s="544"/>
      <c r="H21" s="544"/>
      <c r="I21" s="544"/>
    </row>
  </sheetData>
  <mergeCells count="7">
    <mergeCell ref="D20:I20"/>
    <mergeCell ref="D21:I21"/>
    <mergeCell ref="B1:I1"/>
    <mergeCell ref="B15:I15"/>
    <mergeCell ref="D17:I17"/>
    <mergeCell ref="D18:I18"/>
    <mergeCell ref="D19:I19"/>
  </mergeCells>
  <hyperlinks>
    <hyperlink ref="K5" r:id="rId1" tooltip="https://www.gogoro.com/" xr:uid="{5281ECC8-BF0E-45C0-A086-4A95823EC7AF}"/>
    <hyperlink ref="K6" r:id="rId2" tooltip="https://swapenergy.id/" xr:uid="{E4C06309-3AF7-429D-9620-BACB969A1E32}"/>
    <hyperlink ref="K7" r:id="rId3" tooltip="https://www.tbsenergi.com/" xr:uid="{AD4C51BE-5855-46BD-9A0E-1C45F135BA54}"/>
    <hyperlink ref="K8" r:id="rId4" tooltip="https://www.sunmobility.co.in/" xr:uid="{2834A7CF-EAD5-49D5-AD8C-975251E26D4B}"/>
    <hyperlink ref="K9" r:id="rId5" tooltip="https://www.c-e-int.com/" xr:uid="{F798D75D-6B38-491B-942B-82D6F4BE655A}"/>
    <hyperlink ref="K10" r:id="rId6" tooltip="https://www.tesla.com/energy" xr:uid="{00E5A62C-B2C0-4725-9076-5B052C3AE135}"/>
    <hyperlink ref="K11" r:id="rId7" tooltip="https://www.catl.com/en/" xr:uid="{BD33F35A-EEB6-484F-BCA0-8900416B9439}"/>
    <hyperlink ref="K12" r:id="rId8" tooltip="https://www.nio.com/nio-power" xr:uid="{6BE93288-193F-468D-B24E-7E04D6F8636F}"/>
    <hyperlink ref="F17" r:id="rId9" tooltip="https://www.grandviewresearch.com/industry-analysis/battery-swapping-charging-infrastructure-market-report" display="Grand View Research" xr:uid="{F46E779A-76F7-4670-99EF-4F493F9E8CCE}"/>
    <hyperlink ref="F18" r:id="rId10" tooltip="https://cnevpost.com/2026/02/04/global-ev-battery-market-share-2025/" display="SNE Research (CnEVPost)" xr:uid="{C6D7C4F6-1C58-4BA1-8F5A-61CE7FF2FA28}"/>
    <hyperlink ref="F19" r:id="rId11" tooltip="https://www.itdp.org/where-we-work/indonesia/" display="ITDP Indonesia" xr:uid="{5F4BE255-C61A-4D79-8C05-C817E20907C6}"/>
    <hyperlink ref="F20" r:id="rId12" tooltip="https://www.mdpi.com/2032-6653/17/3/112" display="MDPI (Open Access)" xr:uid="{32E24567-B019-453B-BFF9-37850E3C3348}"/>
    <hyperlink ref="F21" r:id="rId13" tooltip="https://www.sciencedirect.com/science/article/pii/S2590198225001848" display="ScienceDirect" xr:uid="{E2BCE78E-6626-40C0-867C-7B60E4C65D89}"/>
  </hyperlinks>
  <pageMargins left="0.75" right="0.75" top="1" bottom="1"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6B00"/>
  </sheetPr>
  <dimension ref="A1:H47"/>
  <sheetViews>
    <sheetView zoomScaleNormal="100" workbookViewId="0">
      <pane xSplit="1" ySplit="8" topLeftCell="B19" activePane="bottomRight" state="frozen"/>
      <selection pane="topRight" activeCell="B1" sqref="B1"/>
      <selection pane="bottomLeft" activeCell="A9" sqref="A9"/>
      <selection pane="bottomRight" activeCell="E29" sqref="E29"/>
    </sheetView>
  </sheetViews>
  <sheetFormatPr defaultColWidth="8.54296875" defaultRowHeight="14.5" x14ac:dyDescent="0.35"/>
  <cols>
    <col min="1" max="1" width="40" customWidth="1"/>
    <col min="2" max="6" width="18" customWidth="1"/>
    <col min="7" max="7" width="30" customWidth="1"/>
    <col min="8" max="8" width="40" customWidth="1"/>
  </cols>
  <sheetData>
    <row r="1" spans="1:8" ht="31.5" customHeight="1" x14ac:dyDescent="0.35">
      <c r="A1" s="487" t="s">
        <v>1363</v>
      </c>
      <c r="B1" s="487"/>
      <c r="C1" s="487"/>
      <c r="D1" s="487"/>
      <c r="E1" s="487"/>
      <c r="F1" s="487"/>
      <c r="G1" s="487"/>
    </row>
    <row r="3" spans="1:8" ht="15" customHeight="1" x14ac:dyDescent="0.35">
      <c r="A3" s="485" t="s">
        <v>1364</v>
      </c>
      <c r="B3" s="485"/>
      <c r="C3" s="485"/>
      <c r="D3" s="485"/>
      <c r="E3" s="485"/>
      <c r="F3" s="485"/>
      <c r="G3" s="485"/>
    </row>
    <row r="4" spans="1:8" ht="15" customHeight="1" x14ac:dyDescent="0.35">
      <c r="A4" s="1" t="s">
        <v>1365</v>
      </c>
      <c r="B4" s="18" t="s">
        <v>1366</v>
      </c>
      <c r="D4" s="19" t="s">
        <v>1367</v>
      </c>
      <c r="F4" s="20" t="s">
        <v>1368</v>
      </c>
    </row>
    <row r="5" spans="1:8" ht="15" customHeight="1" x14ac:dyDescent="0.35">
      <c r="A5" t="s">
        <v>1369</v>
      </c>
      <c r="B5" s="21">
        <f>IF(B4="Conservative",1,IF(B4="Base",2,3))</f>
        <v>2</v>
      </c>
      <c r="D5" s="1" t="s">
        <v>1370</v>
      </c>
      <c r="F5" s="1" t="s">
        <v>1371</v>
      </c>
    </row>
    <row r="7" spans="1:8" ht="15" customHeight="1" x14ac:dyDescent="0.35">
      <c r="A7" s="485" t="s">
        <v>1372</v>
      </c>
      <c r="B7" s="485"/>
      <c r="C7" s="485"/>
      <c r="D7" s="485"/>
      <c r="E7" s="485"/>
      <c r="F7" s="485"/>
      <c r="G7" s="485"/>
    </row>
    <row r="8" spans="1:8" ht="15" customHeight="1" x14ac:dyDescent="0.35">
      <c r="A8" s="15" t="s">
        <v>1373</v>
      </c>
      <c r="B8" s="15" t="s">
        <v>1374</v>
      </c>
      <c r="C8" s="15" t="s">
        <v>1366</v>
      </c>
      <c r="D8" s="15" t="s">
        <v>1375</v>
      </c>
      <c r="E8" s="15" t="s">
        <v>1376</v>
      </c>
      <c r="F8" s="15" t="s">
        <v>1377</v>
      </c>
      <c r="G8" s="15" t="s">
        <v>1378</v>
      </c>
      <c r="H8" s="200" t="s">
        <v>1379</v>
      </c>
    </row>
    <row r="9" spans="1:8" ht="15" customHeight="1" x14ac:dyDescent="0.35">
      <c r="A9" s="22" t="s">
        <v>1380</v>
      </c>
      <c r="B9" s="23">
        <v>0.03</v>
      </c>
      <c r="C9" s="23">
        <v>3.5000000000000003E-2</v>
      </c>
      <c r="D9" s="23">
        <v>0.04</v>
      </c>
      <c r="E9" s="24">
        <f t="shared" ref="E9:E17" si="0">CHOOSE(ScenIdx,B9,C9,D9)</f>
        <v>3.5000000000000003E-2</v>
      </c>
      <c r="F9" s="5" t="s">
        <v>1381</v>
      </c>
      <c r="G9" s="5" t="s">
        <v>1382</v>
      </c>
      <c r="H9" s="201" t="s">
        <v>1383</v>
      </c>
    </row>
    <row r="10" spans="1:8" ht="15" customHeight="1" x14ac:dyDescent="0.35">
      <c r="A10" s="22" t="s">
        <v>1384</v>
      </c>
      <c r="B10" s="23">
        <v>0.15</v>
      </c>
      <c r="C10" s="23">
        <v>0.12</v>
      </c>
      <c r="D10" s="23">
        <v>0.1</v>
      </c>
      <c r="E10" s="24">
        <f t="shared" si="0"/>
        <v>0.12</v>
      </c>
      <c r="F10" s="5" t="s">
        <v>1385</v>
      </c>
      <c r="G10" s="5" t="s">
        <v>1386</v>
      </c>
      <c r="H10" s="201" t="s">
        <v>1387</v>
      </c>
    </row>
    <row r="11" spans="1:8" ht="15" customHeight="1" x14ac:dyDescent="0.35">
      <c r="A11" s="22" t="s">
        <v>1388</v>
      </c>
      <c r="B11" s="25">
        <v>16500</v>
      </c>
      <c r="C11" s="25">
        <v>16000</v>
      </c>
      <c r="D11" s="25">
        <v>15500</v>
      </c>
      <c r="E11" s="26">
        <f t="shared" si="0"/>
        <v>16000</v>
      </c>
      <c r="F11" s="5" t="s">
        <v>4837</v>
      </c>
      <c r="G11" s="5" t="s">
        <v>1390</v>
      </c>
      <c r="H11" s="201" t="s">
        <v>1391</v>
      </c>
    </row>
    <row r="12" spans="1:8" ht="15" customHeight="1" x14ac:dyDescent="0.35">
      <c r="A12" s="22" t="s">
        <v>1392</v>
      </c>
      <c r="B12" s="23">
        <v>0.04</v>
      </c>
      <c r="C12" s="23">
        <v>0.03</v>
      </c>
      <c r="D12" s="23">
        <v>0.02</v>
      </c>
      <c r="E12" s="24">
        <f t="shared" si="0"/>
        <v>0.03</v>
      </c>
      <c r="F12" s="5" t="s">
        <v>1381</v>
      </c>
      <c r="G12" s="5" t="s">
        <v>1393</v>
      </c>
      <c r="H12" s="201" t="s">
        <v>1394</v>
      </c>
    </row>
    <row r="13" spans="1:8" ht="15" customHeight="1" x14ac:dyDescent="0.35">
      <c r="A13" s="22" t="s">
        <v>1395</v>
      </c>
      <c r="B13" s="25">
        <v>110</v>
      </c>
      <c r="C13" s="25">
        <v>99</v>
      </c>
      <c r="D13" s="25">
        <v>85</v>
      </c>
      <c r="E13" s="26">
        <f t="shared" si="0"/>
        <v>99</v>
      </c>
      <c r="F13" s="5" t="s">
        <v>1396</v>
      </c>
      <c r="G13" s="5" t="s">
        <v>1397</v>
      </c>
      <c r="H13" s="201" t="s">
        <v>1398</v>
      </c>
    </row>
    <row r="14" spans="1:8" ht="15" customHeight="1" x14ac:dyDescent="0.35">
      <c r="A14" s="22" t="s">
        <v>1399</v>
      </c>
      <c r="B14" s="25">
        <v>9500</v>
      </c>
      <c r="C14" s="25">
        <v>8748</v>
      </c>
      <c r="D14" s="25">
        <v>8000</v>
      </c>
      <c r="E14" s="26">
        <f t="shared" si="0"/>
        <v>8748</v>
      </c>
      <c r="F14" s="5" t="s">
        <v>1400</v>
      </c>
      <c r="G14" s="5" t="s">
        <v>1401</v>
      </c>
      <c r="H14" s="201" t="s">
        <v>1402</v>
      </c>
    </row>
    <row r="15" spans="1:8" ht="15" customHeight="1" x14ac:dyDescent="0.35">
      <c r="A15" s="22" t="s">
        <v>1403</v>
      </c>
      <c r="B15" s="25">
        <v>50000</v>
      </c>
      <c r="C15" s="25">
        <v>96000</v>
      </c>
      <c r="D15" s="25">
        <v>200000</v>
      </c>
      <c r="E15" s="26">
        <f t="shared" si="0"/>
        <v>96000</v>
      </c>
      <c r="F15" s="5" t="s">
        <v>1404</v>
      </c>
      <c r="G15" s="5" t="s">
        <v>1405</v>
      </c>
      <c r="H15" s="201" t="s">
        <v>1406</v>
      </c>
    </row>
    <row r="16" spans="1:8" ht="15" customHeight="1" x14ac:dyDescent="0.35">
      <c r="A16" s="22" t="s">
        <v>1407</v>
      </c>
      <c r="B16" s="25">
        <v>4</v>
      </c>
      <c r="C16" s="25">
        <v>12</v>
      </c>
      <c r="D16" s="25">
        <v>20</v>
      </c>
      <c r="E16" s="26">
        <f t="shared" si="0"/>
        <v>12</v>
      </c>
      <c r="F16" s="5" t="s">
        <v>1408</v>
      </c>
      <c r="G16" s="5" t="s">
        <v>1409</v>
      </c>
      <c r="H16" s="201" t="s">
        <v>1410</v>
      </c>
    </row>
    <row r="17" spans="1:8" ht="15" customHeight="1" x14ac:dyDescent="0.35">
      <c r="A17" s="22" t="s">
        <v>1411</v>
      </c>
      <c r="B17" s="23">
        <v>0.22</v>
      </c>
      <c r="C17" s="23">
        <v>0.22</v>
      </c>
      <c r="D17" s="23">
        <v>0.22</v>
      </c>
      <c r="E17" s="24">
        <f t="shared" si="0"/>
        <v>0.22</v>
      </c>
      <c r="F17" s="5" t="s">
        <v>1385</v>
      </c>
      <c r="G17" s="5" t="s">
        <v>1412</v>
      </c>
      <c r="H17" s="201" t="s">
        <v>1413</v>
      </c>
    </row>
    <row r="20" spans="1:8" ht="15" customHeight="1" x14ac:dyDescent="0.35">
      <c r="A20" s="485" t="s">
        <v>1414</v>
      </c>
      <c r="B20" s="485"/>
      <c r="C20" s="485"/>
      <c r="D20" s="485"/>
      <c r="E20" s="485"/>
      <c r="F20" s="485"/>
      <c r="G20" s="485"/>
    </row>
    <row r="21" spans="1:8" ht="15" customHeight="1" x14ac:dyDescent="0.35">
      <c r="A21" s="15" t="s">
        <v>1373</v>
      </c>
      <c r="B21" s="15" t="s">
        <v>1374</v>
      </c>
      <c r="C21" s="15" t="s">
        <v>1366</v>
      </c>
      <c r="D21" s="15" t="s">
        <v>1375</v>
      </c>
      <c r="E21" s="15" t="s">
        <v>1376</v>
      </c>
      <c r="F21" s="15" t="s">
        <v>1377</v>
      </c>
      <c r="G21" s="15" t="s">
        <v>1378</v>
      </c>
    </row>
    <row r="22" spans="1:8" ht="15" customHeight="1" x14ac:dyDescent="0.35">
      <c r="A22" s="22" t="s">
        <v>1415</v>
      </c>
      <c r="B22" s="23">
        <v>0.3</v>
      </c>
      <c r="C22" s="23">
        <v>0.5</v>
      </c>
      <c r="D22" s="23">
        <v>0.8</v>
      </c>
      <c r="E22" s="24">
        <f t="shared" ref="E22:E37" si="1">CHOOSE(ScenIdx,B22,C22,D22)</f>
        <v>0.5</v>
      </c>
      <c r="F22" s="5" t="s">
        <v>1385</v>
      </c>
      <c r="G22" s="5" t="s">
        <v>1416</v>
      </c>
      <c r="H22" s="201" t="s">
        <v>1417</v>
      </c>
    </row>
    <row r="23" spans="1:8" ht="15" customHeight="1" x14ac:dyDescent="0.35">
      <c r="A23" s="22" t="s">
        <v>1418</v>
      </c>
      <c r="B23" s="23">
        <v>0.05</v>
      </c>
      <c r="C23" s="23">
        <v>0.08</v>
      </c>
      <c r="D23" s="23">
        <v>0.12</v>
      </c>
      <c r="E23" s="24">
        <f t="shared" si="1"/>
        <v>0.08</v>
      </c>
      <c r="F23" s="5" t="s">
        <v>1385</v>
      </c>
      <c r="G23" s="5" t="s">
        <v>1419</v>
      </c>
      <c r="H23" s="201" t="s">
        <v>1420</v>
      </c>
    </row>
    <row r="24" spans="1:8" ht="15" customHeight="1" x14ac:dyDescent="0.35">
      <c r="A24" s="22" t="s">
        <v>1421</v>
      </c>
      <c r="B24" s="23">
        <v>0.06</v>
      </c>
      <c r="C24" s="23">
        <v>0.05</v>
      </c>
      <c r="D24" s="23">
        <v>0.04</v>
      </c>
      <c r="E24" s="24">
        <f t="shared" si="1"/>
        <v>0.05</v>
      </c>
      <c r="F24" s="5" t="s">
        <v>1385</v>
      </c>
      <c r="G24" s="5" t="s">
        <v>1422</v>
      </c>
      <c r="H24" s="201" t="s">
        <v>1423</v>
      </c>
    </row>
    <row r="25" spans="1:8" ht="15" customHeight="1" x14ac:dyDescent="0.35">
      <c r="A25" s="22" t="s">
        <v>1424</v>
      </c>
      <c r="B25" s="23">
        <v>0.4</v>
      </c>
      <c r="C25" s="23">
        <v>0.6</v>
      </c>
      <c r="D25" s="23">
        <v>0.8</v>
      </c>
      <c r="E25" s="24">
        <f t="shared" si="1"/>
        <v>0.6</v>
      </c>
      <c r="F25" s="5" t="s">
        <v>1385</v>
      </c>
      <c r="G25" s="5" t="s">
        <v>1425</v>
      </c>
      <c r="H25" s="201" t="s">
        <v>1426</v>
      </c>
    </row>
    <row r="26" spans="1:8" ht="15" customHeight="1" x14ac:dyDescent="0.35">
      <c r="A26" s="22" t="s">
        <v>1427</v>
      </c>
      <c r="B26" s="23">
        <v>0.95</v>
      </c>
      <c r="C26" s="23">
        <v>0.98</v>
      </c>
      <c r="D26" s="23">
        <v>0.995</v>
      </c>
      <c r="E26" s="24">
        <f t="shared" si="1"/>
        <v>0.98</v>
      </c>
      <c r="F26" s="5" t="s">
        <v>1385</v>
      </c>
      <c r="G26" s="5" t="s">
        <v>1428</v>
      </c>
      <c r="H26" s="201" t="s">
        <v>1429</v>
      </c>
    </row>
    <row r="27" spans="1:8" ht="15" customHeight="1" x14ac:dyDescent="0.35">
      <c r="A27" s="22" t="s">
        <v>1430</v>
      </c>
      <c r="B27" s="23">
        <v>0.05</v>
      </c>
      <c r="C27" s="23">
        <v>0.03</v>
      </c>
      <c r="D27" s="23">
        <v>1.4999999999999999E-2</v>
      </c>
      <c r="E27" s="24">
        <f t="shared" si="1"/>
        <v>0.03</v>
      </c>
      <c r="F27" s="5" t="s">
        <v>1385</v>
      </c>
      <c r="G27" s="5" t="s">
        <v>1431</v>
      </c>
      <c r="H27" s="201" t="s">
        <v>1432</v>
      </c>
    </row>
    <row r="28" spans="1:8" ht="15" customHeight="1" x14ac:dyDescent="0.35">
      <c r="A28" s="22" t="s">
        <v>1433</v>
      </c>
      <c r="B28" s="25">
        <v>4000000</v>
      </c>
      <c r="C28" s="25">
        <v>3000000</v>
      </c>
      <c r="D28" s="25">
        <v>2500000</v>
      </c>
      <c r="E28" s="26">
        <f t="shared" si="1"/>
        <v>3000000</v>
      </c>
      <c r="F28" s="5" t="s">
        <v>1434</v>
      </c>
      <c r="G28" s="5" t="s">
        <v>1435</v>
      </c>
      <c r="H28" s="201" t="s">
        <v>1436</v>
      </c>
    </row>
    <row r="29" spans="1:8" ht="15" customHeight="1" x14ac:dyDescent="0.35">
      <c r="A29" s="22" t="s">
        <v>1437</v>
      </c>
      <c r="B29" s="25">
        <v>450000</v>
      </c>
      <c r="C29" s="25">
        <v>500000</v>
      </c>
      <c r="D29" s="25">
        <v>550000</v>
      </c>
      <c r="E29" s="26">
        <f t="shared" si="1"/>
        <v>500000</v>
      </c>
      <c r="F29" s="5" t="s">
        <v>1438</v>
      </c>
      <c r="G29" s="5" t="s">
        <v>1439</v>
      </c>
      <c r="H29" s="201" t="s">
        <v>1440</v>
      </c>
    </row>
    <row r="30" spans="1:8" ht="15" customHeight="1" x14ac:dyDescent="0.35">
      <c r="A30" s="22" t="s">
        <v>1441</v>
      </c>
      <c r="B30" s="25">
        <v>120000</v>
      </c>
      <c r="C30" s="25">
        <v>150000</v>
      </c>
      <c r="D30" s="25">
        <v>180000</v>
      </c>
      <c r="E30" s="26">
        <f t="shared" si="1"/>
        <v>150000</v>
      </c>
      <c r="F30" s="5" t="s">
        <v>1442</v>
      </c>
      <c r="G30" s="5" t="s">
        <v>1443</v>
      </c>
      <c r="H30" s="201" t="s">
        <v>1444</v>
      </c>
    </row>
    <row r="31" spans="1:8" ht="15" customHeight="1" x14ac:dyDescent="0.35">
      <c r="A31" s="22" t="s">
        <v>1445</v>
      </c>
      <c r="B31" s="197">
        <f>C31*1.125</f>
        <v>900292686.76367998</v>
      </c>
      <c r="C31" s="197">
        <f>'Capex Schedule'!C30</f>
        <v>800260166.01215994</v>
      </c>
      <c r="D31" s="197">
        <f>C31*0.875</f>
        <v>700227645.26063991</v>
      </c>
      <c r="E31" s="26">
        <f t="shared" si="1"/>
        <v>800260166.01215994</v>
      </c>
      <c r="F31" s="5" t="s">
        <v>1446</v>
      </c>
      <c r="G31" s="5" t="s">
        <v>1447</v>
      </c>
      <c r="H31" s="186" t="s">
        <v>1448</v>
      </c>
    </row>
    <row r="32" spans="1:8" ht="15" customHeight="1" x14ac:dyDescent="0.35">
      <c r="A32" s="22" t="s">
        <v>1449</v>
      </c>
      <c r="B32" s="197">
        <f>C32*1.25</f>
        <v>349218955.52499998</v>
      </c>
      <c r="C32" s="197">
        <f>'Capex Schedule'!C40</f>
        <v>279375164.41999996</v>
      </c>
      <c r="D32" s="197">
        <f>C32*0.786</f>
        <v>219588879.23411998</v>
      </c>
      <c r="E32" s="26">
        <f t="shared" si="1"/>
        <v>279375164.41999996</v>
      </c>
      <c r="F32" s="5" t="s">
        <v>1450</v>
      </c>
      <c r="G32" s="5" t="s">
        <v>1447</v>
      </c>
      <c r="H32" s="186" t="s">
        <v>1448</v>
      </c>
    </row>
    <row r="33" spans="1:8" ht="15" customHeight="1" x14ac:dyDescent="0.35">
      <c r="A33" s="22" t="s">
        <v>1451</v>
      </c>
      <c r="B33" s="25">
        <v>60</v>
      </c>
      <c r="C33" s="25">
        <v>150</v>
      </c>
      <c r="D33" s="25">
        <v>300</v>
      </c>
      <c r="E33" s="26">
        <f t="shared" si="1"/>
        <v>150</v>
      </c>
      <c r="F33" s="5" t="s">
        <v>1452</v>
      </c>
      <c r="G33" s="5" t="s">
        <v>1453</v>
      </c>
      <c r="H33" s="201" t="s">
        <v>1454</v>
      </c>
    </row>
    <row r="34" spans="1:8" ht="15" customHeight="1" x14ac:dyDescent="0.35">
      <c r="A34" s="22" t="s">
        <v>1455</v>
      </c>
      <c r="B34" s="25">
        <v>5000</v>
      </c>
      <c r="C34" s="25">
        <v>25000</v>
      </c>
      <c r="D34" s="25">
        <v>50000</v>
      </c>
      <c r="E34" s="26">
        <f t="shared" si="1"/>
        <v>25000</v>
      </c>
      <c r="F34" s="5" t="s">
        <v>1456</v>
      </c>
      <c r="G34" s="5" t="s">
        <v>1457</v>
      </c>
      <c r="H34" s="201" t="s">
        <v>1454</v>
      </c>
    </row>
    <row r="35" spans="1:8" ht="15" customHeight="1" x14ac:dyDescent="0.35">
      <c r="A35" s="22" t="s">
        <v>1458</v>
      </c>
      <c r="B35" s="23">
        <v>0.5</v>
      </c>
      <c r="C35" s="23">
        <v>0.7</v>
      </c>
      <c r="D35" s="23">
        <v>0.85</v>
      </c>
      <c r="E35" s="24">
        <f t="shared" si="1"/>
        <v>0.7</v>
      </c>
      <c r="F35" s="5" t="s">
        <v>1385</v>
      </c>
      <c r="G35" s="5" t="s">
        <v>1459</v>
      </c>
      <c r="H35" s="201" t="s">
        <v>1460</v>
      </c>
    </row>
    <row r="36" spans="1:8" ht="15" customHeight="1" x14ac:dyDescent="0.35">
      <c r="A36" s="22" t="s">
        <v>1461</v>
      </c>
      <c r="B36" s="25">
        <v>2</v>
      </c>
      <c r="C36" s="25">
        <v>2</v>
      </c>
      <c r="D36" s="25">
        <v>3</v>
      </c>
      <c r="E36" s="26">
        <f t="shared" si="1"/>
        <v>2</v>
      </c>
      <c r="F36" s="5" t="s">
        <v>1462</v>
      </c>
      <c r="G36" s="5" t="s">
        <v>1463</v>
      </c>
      <c r="H36" s="186" t="s">
        <v>1464</v>
      </c>
    </row>
    <row r="37" spans="1:8" ht="15" customHeight="1" x14ac:dyDescent="0.35">
      <c r="A37" s="22" t="s">
        <v>1465</v>
      </c>
      <c r="B37" s="25">
        <v>1</v>
      </c>
      <c r="C37" s="25">
        <v>1</v>
      </c>
      <c r="D37" s="25">
        <v>2</v>
      </c>
      <c r="E37" s="26">
        <f t="shared" si="1"/>
        <v>1</v>
      </c>
      <c r="F37" s="5" t="s">
        <v>1466</v>
      </c>
      <c r="G37" s="5" t="s">
        <v>1463</v>
      </c>
      <c r="H37" s="186" t="s">
        <v>1464</v>
      </c>
    </row>
    <row r="38" spans="1:8" x14ac:dyDescent="0.35">
      <c r="A38" s="22" t="s">
        <v>4952</v>
      </c>
      <c r="C38" s="438">
        <v>4.9400000000000004</v>
      </c>
    </row>
    <row r="39" spans="1:8" x14ac:dyDescent="0.35">
      <c r="A39" s="22" t="s">
        <v>4953</v>
      </c>
      <c r="C39" s="438">
        <v>5.75</v>
      </c>
    </row>
    <row r="40" spans="1:8" ht="15" customHeight="1" x14ac:dyDescent="0.35">
      <c r="A40" s="485" t="s">
        <v>1467</v>
      </c>
      <c r="B40" s="485"/>
      <c r="C40" s="485"/>
      <c r="D40" s="485"/>
      <c r="E40" s="485"/>
      <c r="F40" s="485"/>
      <c r="G40" s="485"/>
    </row>
    <row r="41" spans="1:8" ht="15" customHeight="1" x14ac:dyDescent="0.35">
      <c r="A41" s="15" t="s">
        <v>1468</v>
      </c>
      <c r="B41" s="15" t="s">
        <v>12</v>
      </c>
      <c r="C41" s="15" t="s">
        <v>13</v>
      </c>
      <c r="D41" s="15" t="s">
        <v>14</v>
      </c>
      <c r="E41" s="15" t="s">
        <v>15</v>
      </c>
      <c r="F41" s="15" t="s">
        <v>16</v>
      </c>
      <c r="G41" s="15" t="s">
        <v>1469</v>
      </c>
    </row>
    <row r="42" spans="1:8" ht="15" customHeight="1" x14ac:dyDescent="0.35">
      <c r="A42" t="s">
        <v>1470</v>
      </c>
      <c r="B42" s="25">
        <v>2</v>
      </c>
      <c r="C42" s="25">
        <v>8</v>
      </c>
      <c r="D42" s="25">
        <v>25</v>
      </c>
      <c r="E42" s="25">
        <v>50</v>
      </c>
      <c r="F42" s="25">
        <v>80</v>
      </c>
      <c r="G42" s="5" t="s">
        <v>1471</v>
      </c>
    </row>
    <row r="43" spans="1:8" ht="15" customHeight="1" x14ac:dyDescent="0.35">
      <c r="A43" t="s">
        <v>1472</v>
      </c>
      <c r="B43" s="25">
        <v>1</v>
      </c>
      <c r="C43" s="25">
        <v>4</v>
      </c>
      <c r="D43" s="25">
        <v>18</v>
      </c>
      <c r="E43" s="25">
        <v>38</v>
      </c>
      <c r="F43" s="25">
        <v>60</v>
      </c>
      <c r="G43" s="5" t="s">
        <v>1471</v>
      </c>
    </row>
    <row r="44" spans="1:8" ht="15" customHeight="1" x14ac:dyDescent="0.35">
      <c r="A44" t="s">
        <v>1473</v>
      </c>
      <c r="B44" s="25">
        <v>25</v>
      </c>
      <c r="C44" s="25">
        <v>35</v>
      </c>
      <c r="D44" s="25">
        <v>45</v>
      </c>
      <c r="E44" s="25">
        <v>50</v>
      </c>
      <c r="F44" s="25">
        <v>55</v>
      </c>
      <c r="G44" s="5" t="s">
        <v>1474</v>
      </c>
    </row>
    <row r="45" spans="1:8" ht="15" customHeight="1" x14ac:dyDescent="0.35">
      <c r="A45" t="s">
        <v>1475</v>
      </c>
      <c r="B45" s="25">
        <v>160</v>
      </c>
      <c r="C45" s="25">
        <v>160</v>
      </c>
      <c r="D45" s="25">
        <v>165</v>
      </c>
      <c r="E45" s="25">
        <v>170</v>
      </c>
      <c r="F45" s="25">
        <v>175</v>
      </c>
      <c r="G45" s="5" t="s">
        <v>1476</v>
      </c>
    </row>
    <row r="46" spans="1:8" ht="15" customHeight="1" x14ac:dyDescent="0.35">
      <c r="A46" t="s">
        <v>1477</v>
      </c>
      <c r="B46" s="25">
        <v>50</v>
      </c>
      <c r="C46" s="25">
        <v>250</v>
      </c>
      <c r="D46" s="25">
        <v>900</v>
      </c>
      <c r="E46" s="25">
        <v>2200</v>
      </c>
      <c r="F46" s="25">
        <v>4000</v>
      </c>
      <c r="G46" s="5" t="s">
        <v>1478</v>
      </c>
    </row>
    <row r="47" spans="1:8" ht="15" customHeight="1" x14ac:dyDescent="0.35">
      <c r="A47" t="s">
        <v>1479</v>
      </c>
      <c r="B47" s="25">
        <v>0</v>
      </c>
      <c r="C47" s="25">
        <v>1</v>
      </c>
      <c r="D47" s="25">
        <v>3</v>
      </c>
      <c r="E47" s="25">
        <v>6</v>
      </c>
      <c r="F47" s="25">
        <v>10</v>
      </c>
      <c r="G47" s="5" t="s">
        <v>1480</v>
      </c>
    </row>
  </sheetData>
  <mergeCells count="5">
    <mergeCell ref="A1:G1"/>
    <mergeCell ref="A3:G3"/>
    <mergeCell ref="A7:G7"/>
    <mergeCell ref="A20:G20"/>
    <mergeCell ref="A40:G40"/>
  </mergeCells>
  <dataValidations count="1">
    <dataValidation type="list" sqref="B4" xr:uid="{00000000-0002-0000-0100-000000000000}">
      <formula1>"Conservative,Base,Aggressive"</formula1>
      <formula2>0</formula2>
    </dataValidation>
  </dataValidations>
  <hyperlinks>
    <hyperlink ref="H9" r:id="rId1" tooltip="https://www.bi.go.id/en/statistik/indikator/inflasi.aspx" xr:uid="{2753909E-03D3-48F6-BEC0-D43EBC1C8CEB}"/>
    <hyperlink ref="H10" r:id="rId2" tooltip="https://www.climatepolicyinitiative.org/" xr:uid="{A58E68B2-DE7D-4F62-9F13-9CC10E0D3DC6}"/>
    <hyperlink ref="H11" r:id="rId3" tooltip="https://www.bi.go.id/en/statistik/informasi-kurs/transaksi-bi/default.aspx" xr:uid="{DE5B11C6-6026-4EAA-9E67-7252E9EDF235}"/>
    <hyperlink ref="H12" r:id="rId4" tooltip="https://www.bi.go.id/en/statistik/indikator/inflasi.aspx" xr:uid="{0083E52B-C420-4259-AF12-6573781E1E05}"/>
    <hyperlink ref="H13" r:id="rId5" tooltip="https://about.bnef.com/electric-vehicle-outlook/" xr:uid="{D62DD6ED-6889-404E-864C-46177B2669F4}"/>
    <hyperlink ref="H14" r:id="rId6" tooltip="https://ieefa.org/topics/indonesia" xr:uid="{53138236-2098-4776-B561-F18FBAF967D4}"/>
    <hyperlink ref="H15" r:id="rId7" tooltip="https://www.idxcarbon.co.id/en" xr:uid="{F8653C5F-7E90-410C-8F7D-0E2BC8A7F128}"/>
    <hyperlink ref="H16" r:id="rId8" tooltip="https://verra.org/programs/verified-carbon-standard/" xr:uid="{033B4672-BCE1-4887-A709-F6EF51DC2E3C}"/>
    <hyperlink ref="H17" r:id="rId9" tooltip="https://www.pajak.go.id/en/corporate-income-tax" xr:uid="{F5B9B258-B1F5-426A-88FC-948769FB6B48}"/>
    <hyperlink ref="H22" r:id="rId10" tooltip="https://www.esdm.go.id/en" xr:uid="{F02B6FF8-FCC6-4818-B081-2C673B946302}"/>
    <hyperlink ref="H23" r:id="rId11" tooltip="https://www.itdp.org/where-we-work/indonesia/" xr:uid="{566797C3-67A6-4BD2-A4F3-0A752725D691}"/>
    <hyperlink ref="H24" r:id="rId12" tooltip="https://www.sciencedirect.com/" xr:uid="{C2FE094D-20E9-4546-B903-244204E61C94}"/>
    <hyperlink ref="H25" r:id="rId13" tooltip="https://www.gogoro.com/news/" xr:uid="{8BFE5F81-2F2D-493D-945A-0A89F84CABC7}"/>
    <hyperlink ref="H26" r:id="rId14" tooltip="https://web.pln.co.id/en" xr:uid="{14183AFF-F88F-4ABD-9C8D-2FB56CD20788}"/>
    <hyperlink ref="H27" r:id="rId15" tooltip="https://www.bvp.com/atlas/state-of-the-cloud-2024" xr:uid="{2B357519-C5C3-4A6F-B881-46E15408D19E}"/>
    <hyperlink ref="H28" r:id="rId16" tooltip="https://www.catl.com/en/" xr:uid="{BF83A991-78FB-45A1-A2E9-266CC7415B7D}"/>
    <hyperlink ref="H29" r:id="rId17" tooltip="https://smoot.id/" xr:uid="{C98F64A5-14DF-4AD3-BA02-2E9123815277}"/>
    <hyperlink ref="H30" r:id="rId18" tooltip="https://mentari.info/" xr:uid="{712CE755-EEF6-4C00-8C06-DBC8F861535D}"/>
    <hyperlink ref="H33" r:id="rId19" tooltip="https://www.connected-energy.co.uk/" xr:uid="{97F4A9AE-6640-4F87-88E5-EF2B09713024}"/>
    <hyperlink ref="H34" r:id="rId20" tooltip="https://www.connected-energy.co.uk/" xr:uid="{544D6EE6-2095-4DC5-88DD-C1A18320AB62}"/>
    <hyperlink ref="H35" r:id="rId21" tooltip="https://verra.org/methodologies/" xr:uid="{2BA892C0-A748-4F59-8DD3-78F04DC51666}"/>
  </hyperlinks>
  <pageMargins left="0.75" right="0.75" top="1" bottom="1" header="0.511811023622047" footer="0.511811023622047"/>
  <pageSetup paperSize="9" orientation="portrait" horizontalDpi="300" verticalDpi="300"/>
  <legacyDrawing r:id="rId2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CC8C4-0434-429F-8A8C-ACEC1C4BA206}">
  <sheetPr>
    <tabColor rgb="FFFF6B00"/>
  </sheetPr>
  <dimension ref="A1:E54"/>
  <sheetViews>
    <sheetView topLeftCell="C1" zoomScaleNormal="100" workbookViewId="0">
      <pane ySplit="3" topLeftCell="A46" activePane="bottomLeft" state="frozen"/>
      <selection pane="bottomLeft" activeCell="J50" sqref="J50"/>
    </sheetView>
  </sheetViews>
  <sheetFormatPr defaultColWidth="8.6328125" defaultRowHeight="14.5" x14ac:dyDescent="0.35"/>
  <cols>
    <col min="1" max="1" width="46" customWidth="1"/>
    <col min="2" max="2" width="16" customWidth="1"/>
    <col min="3" max="3" width="12" customWidth="1"/>
    <col min="4" max="4" width="14" customWidth="1"/>
    <col min="5" max="5" width="70" customWidth="1"/>
  </cols>
  <sheetData>
    <row r="1" spans="1:5" ht="17.25" customHeight="1" x14ac:dyDescent="0.4">
      <c r="A1" s="318" t="s">
        <v>3222</v>
      </c>
    </row>
    <row r="3" spans="1:5" ht="15" customHeight="1" x14ac:dyDescent="0.35">
      <c r="A3" s="326" t="s">
        <v>3221</v>
      </c>
      <c r="B3" s="326" t="s">
        <v>2429</v>
      </c>
      <c r="C3" s="326" t="s">
        <v>1377</v>
      </c>
      <c r="D3" s="326" t="s">
        <v>3220</v>
      </c>
      <c r="E3" s="326" t="s">
        <v>3219</v>
      </c>
    </row>
    <row r="4" spans="1:5" ht="15" customHeight="1" x14ac:dyDescent="0.35">
      <c r="A4" s="323" t="s">
        <v>3218</v>
      </c>
    </row>
    <row r="5" spans="1:5" ht="15" customHeight="1" x14ac:dyDescent="0.35">
      <c r="A5" s="22" t="s">
        <v>3217</v>
      </c>
      <c r="B5" s="321">
        <f>Assumptions!E11</f>
        <v>16000</v>
      </c>
      <c r="C5" s="22" t="s">
        <v>1389</v>
      </c>
      <c r="D5" s="22" t="s">
        <v>3182</v>
      </c>
      <c r="E5" s="316" t="s">
        <v>3216</v>
      </c>
    </row>
    <row r="6" spans="1:5" ht="15" customHeight="1" x14ac:dyDescent="0.35">
      <c r="A6" s="22" t="s">
        <v>3215</v>
      </c>
      <c r="B6" s="321">
        <v>2250</v>
      </c>
      <c r="C6" s="22" t="s">
        <v>3214</v>
      </c>
      <c r="D6" s="22" t="s">
        <v>3182</v>
      </c>
      <c r="E6" s="316" t="s">
        <v>3213</v>
      </c>
    </row>
    <row r="7" spans="1:5" ht="15" customHeight="1" x14ac:dyDescent="0.35">
      <c r="A7" s="323" t="s">
        <v>3212</v>
      </c>
    </row>
    <row r="8" spans="1:5" ht="15" customHeight="1" x14ac:dyDescent="0.35">
      <c r="A8" s="22" t="s">
        <v>3211</v>
      </c>
      <c r="B8" s="321">
        <v>45000</v>
      </c>
      <c r="C8" s="22" t="s">
        <v>3199</v>
      </c>
      <c r="D8" s="22" t="s">
        <v>3133</v>
      </c>
      <c r="E8" s="316" t="s">
        <v>3210</v>
      </c>
    </row>
    <row r="9" spans="1:5" ht="15" customHeight="1" x14ac:dyDescent="0.35">
      <c r="A9" s="22" t="s">
        <v>3209</v>
      </c>
      <c r="B9" s="321">
        <v>90000</v>
      </c>
      <c r="C9" s="22" t="s">
        <v>3199</v>
      </c>
      <c r="D9" s="22" t="s">
        <v>3133</v>
      </c>
      <c r="E9" s="316" t="s">
        <v>3208</v>
      </c>
    </row>
    <row r="10" spans="1:5" ht="15" customHeight="1" x14ac:dyDescent="0.35">
      <c r="A10" s="22" t="s">
        <v>3207</v>
      </c>
      <c r="B10" s="321">
        <v>350000</v>
      </c>
      <c r="C10" s="22" t="s">
        <v>3199</v>
      </c>
      <c r="D10" s="22" t="s">
        <v>3182</v>
      </c>
      <c r="E10" s="316" t="s">
        <v>3206</v>
      </c>
    </row>
    <row r="11" spans="1:5" ht="15" customHeight="1" x14ac:dyDescent="0.35">
      <c r="A11" s="22" t="s">
        <v>3205</v>
      </c>
      <c r="B11" s="321">
        <v>250000</v>
      </c>
      <c r="C11" s="22" t="s">
        <v>3199</v>
      </c>
      <c r="D11" s="22" t="s">
        <v>3182</v>
      </c>
      <c r="E11" s="316" t="s">
        <v>3204</v>
      </c>
    </row>
    <row r="12" spans="1:5" ht="15" customHeight="1" x14ac:dyDescent="0.35">
      <c r="A12" s="22" t="s">
        <v>3203</v>
      </c>
      <c r="B12" s="321">
        <v>200000</v>
      </c>
      <c r="C12" s="22" t="s">
        <v>3199</v>
      </c>
      <c r="D12" s="22" t="s">
        <v>3182</v>
      </c>
      <c r="E12" s="316" t="s">
        <v>3201</v>
      </c>
    </row>
    <row r="13" spans="1:5" ht="15" customHeight="1" x14ac:dyDescent="0.35">
      <c r="A13" s="22" t="s">
        <v>3202</v>
      </c>
      <c r="B13" s="321">
        <v>150000</v>
      </c>
      <c r="C13" s="22" t="s">
        <v>3199</v>
      </c>
      <c r="D13" s="22" t="s">
        <v>3182</v>
      </c>
      <c r="E13" s="316" t="s">
        <v>3201</v>
      </c>
    </row>
    <row r="14" spans="1:5" ht="15" customHeight="1" x14ac:dyDescent="0.35">
      <c r="A14" s="22" t="s">
        <v>3200</v>
      </c>
      <c r="B14" s="321">
        <v>60000</v>
      </c>
      <c r="C14" s="22" t="s">
        <v>3199</v>
      </c>
      <c r="D14" s="22" t="s">
        <v>3133</v>
      </c>
      <c r="E14" s="316"/>
    </row>
    <row r="15" spans="1:5" ht="15" customHeight="1" x14ac:dyDescent="0.35">
      <c r="A15" s="22" t="s">
        <v>3198</v>
      </c>
      <c r="B15" s="321">
        <v>75000</v>
      </c>
      <c r="C15" s="22" t="s">
        <v>3197</v>
      </c>
      <c r="D15" s="22" t="s">
        <v>3182</v>
      </c>
      <c r="E15" s="316" t="s">
        <v>3196</v>
      </c>
    </row>
    <row r="16" spans="1:5" ht="15" customHeight="1" x14ac:dyDescent="0.35">
      <c r="A16" s="323" t="s">
        <v>3195</v>
      </c>
    </row>
    <row r="17" spans="1:5" ht="15" customHeight="1" x14ac:dyDescent="0.35">
      <c r="A17" s="22" t="s">
        <v>3194</v>
      </c>
      <c r="B17" s="321">
        <v>19000</v>
      </c>
      <c r="C17" s="22" t="s">
        <v>3183</v>
      </c>
      <c r="D17" s="22" t="s">
        <v>3182</v>
      </c>
      <c r="E17" s="316" t="s">
        <v>3193</v>
      </c>
    </row>
    <row r="18" spans="1:5" ht="15" customHeight="1" x14ac:dyDescent="0.35">
      <c r="A18" s="22" t="s">
        <v>3192</v>
      </c>
      <c r="B18" s="321">
        <v>95000</v>
      </c>
      <c r="C18" s="22" t="s">
        <v>3183</v>
      </c>
      <c r="D18" s="22" t="s">
        <v>3182</v>
      </c>
      <c r="E18" s="316"/>
    </row>
    <row r="19" spans="1:5" ht="15" customHeight="1" x14ac:dyDescent="0.35">
      <c r="A19" s="22" t="s">
        <v>3191</v>
      </c>
      <c r="B19" s="321">
        <v>65000</v>
      </c>
      <c r="C19" s="22" t="s">
        <v>3183</v>
      </c>
      <c r="D19" s="22" t="s">
        <v>3182</v>
      </c>
      <c r="E19" s="316"/>
    </row>
    <row r="20" spans="1:5" ht="15" customHeight="1" x14ac:dyDescent="0.35">
      <c r="A20" s="22" t="s">
        <v>3190</v>
      </c>
      <c r="B20" s="321">
        <v>145000</v>
      </c>
      <c r="C20" s="22" t="s">
        <v>3183</v>
      </c>
      <c r="D20" s="22" t="s">
        <v>3182</v>
      </c>
      <c r="E20" s="316" t="s">
        <v>3189</v>
      </c>
    </row>
    <row r="21" spans="1:5" ht="15" customHeight="1" x14ac:dyDescent="0.35">
      <c r="A21" s="22" t="s">
        <v>3188</v>
      </c>
      <c r="B21" s="321">
        <v>180000</v>
      </c>
      <c r="C21" s="22" t="s">
        <v>3183</v>
      </c>
      <c r="D21" s="22" t="s">
        <v>3182</v>
      </c>
      <c r="E21" s="316" t="s">
        <v>3187</v>
      </c>
    </row>
    <row r="22" spans="1:5" ht="15" customHeight="1" x14ac:dyDescent="0.35">
      <c r="A22" s="22" t="s">
        <v>3186</v>
      </c>
      <c r="B22" s="321">
        <v>62000</v>
      </c>
      <c r="C22" s="22" t="s">
        <v>3183</v>
      </c>
      <c r="D22" s="22" t="s">
        <v>3182</v>
      </c>
      <c r="E22" s="316" t="s">
        <v>3185</v>
      </c>
    </row>
    <row r="23" spans="1:5" ht="15" customHeight="1" x14ac:dyDescent="0.35">
      <c r="A23" s="22" t="s">
        <v>3184</v>
      </c>
      <c r="B23" s="321">
        <v>550000</v>
      </c>
      <c r="C23" s="22" t="s">
        <v>3183</v>
      </c>
      <c r="D23" s="22" t="s">
        <v>3182</v>
      </c>
      <c r="E23" s="316" t="s">
        <v>3181</v>
      </c>
    </row>
    <row r="24" spans="1:5" ht="15" customHeight="1" x14ac:dyDescent="0.35">
      <c r="A24" s="323" t="s">
        <v>3180</v>
      </c>
    </row>
    <row r="25" spans="1:5" ht="15" customHeight="1" x14ac:dyDescent="0.35">
      <c r="A25" s="22" t="s">
        <v>3179</v>
      </c>
      <c r="B25" s="325">
        <v>0.18</v>
      </c>
      <c r="C25" s="22" t="s">
        <v>3176</v>
      </c>
      <c r="D25" s="22" t="s">
        <v>3133</v>
      </c>
      <c r="E25" s="316" t="s">
        <v>3178</v>
      </c>
    </row>
    <row r="26" spans="1:5" ht="15" customHeight="1" x14ac:dyDescent="0.35">
      <c r="A26" s="22" t="s">
        <v>3177</v>
      </c>
      <c r="B26" s="325">
        <v>0.05</v>
      </c>
      <c r="C26" s="22" t="s">
        <v>3176</v>
      </c>
      <c r="D26" s="22" t="s">
        <v>3133</v>
      </c>
      <c r="E26" s="316" t="s">
        <v>3175</v>
      </c>
    </row>
    <row r="27" spans="1:5" ht="15" customHeight="1" x14ac:dyDescent="0.35">
      <c r="A27" s="22" t="s">
        <v>3174</v>
      </c>
      <c r="B27" s="325">
        <v>0.08</v>
      </c>
      <c r="C27" s="22"/>
      <c r="D27" s="22" t="s">
        <v>3133</v>
      </c>
      <c r="E27" s="316" t="s">
        <v>3173</v>
      </c>
    </row>
    <row r="28" spans="1:5" ht="15" customHeight="1" x14ac:dyDescent="0.35">
      <c r="A28" s="22" t="s">
        <v>3172</v>
      </c>
      <c r="B28" s="325">
        <v>0.02</v>
      </c>
      <c r="C28" s="22"/>
      <c r="D28" s="22" t="s">
        <v>3133</v>
      </c>
      <c r="E28" s="316"/>
    </row>
    <row r="29" spans="1:5" ht="15" customHeight="1" x14ac:dyDescent="0.35">
      <c r="A29" s="22" t="s">
        <v>3171</v>
      </c>
      <c r="B29" s="325">
        <v>0.03</v>
      </c>
      <c r="C29" s="22"/>
      <c r="D29" s="22" t="s">
        <v>3133</v>
      </c>
      <c r="E29" s="316"/>
    </row>
    <row r="30" spans="1:5" ht="15" customHeight="1" x14ac:dyDescent="0.35">
      <c r="A30" s="22" t="s">
        <v>3170</v>
      </c>
      <c r="B30" s="325">
        <v>0.15</v>
      </c>
      <c r="C30" s="22"/>
      <c r="D30" s="22" t="s">
        <v>3133</v>
      </c>
      <c r="E30" s="316" t="s">
        <v>3169</v>
      </c>
    </row>
    <row r="31" spans="1:5" ht="15" customHeight="1" x14ac:dyDescent="0.35">
      <c r="A31" s="22" t="s">
        <v>3168</v>
      </c>
      <c r="B31" s="325">
        <v>0.12</v>
      </c>
      <c r="C31" s="22"/>
      <c r="D31" s="22" t="s">
        <v>3133</v>
      </c>
      <c r="E31" s="316"/>
    </row>
    <row r="32" spans="1:5" ht="15" customHeight="1" x14ac:dyDescent="0.35">
      <c r="A32" s="22" t="s">
        <v>3167</v>
      </c>
      <c r="B32" s="325">
        <v>0.1</v>
      </c>
      <c r="C32" s="22"/>
      <c r="D32" s="22" t="s">
        <v>3133</v>
      </c>
      <c r="E32" s="316"/>
    </row>
    <row r="33" spans="1:5" ht="15" customHeight="1" x14ac:dyDescent="0.35">
      <c r="A33" s="22" t="s">
        <v>3166</v>
      </c>
      <c r="B33" s="325">
        <v>0.08</v>
      </c>
      <c r="C33" s="22"/>
      <c r="D33" s="22" t="s">
        <v>3133</v>
      </c>
      <c r="E33" s="316"/>
    </row>
    <row r="34" spans="1:5" ht="15" customHeight="1" x14ac:dyDescent="0.35">
      <c r="A34" s="323" t="s">
        <v>3165</v>
      </c>
    </row>
    <row r="35" spans="1:5" ht="15" customHeight="1" x14ac:dyDescent="0.35">
      <c r="A35" s="22" t="s">
        <v>3164</v>
      </c>
      <c r="B35" s="321">
        <v>3</v>
      </c>
      <c r="C35" s="22" t="s">
        <v>3163</v>
      </c>
      <c r="D35" s="22" t="s">
        <v>3133</v>
      </c>
      <c r="E35" s="316"/>
    </row>
    <row r="36" spans="1:5" ht="15" customHeight="1" x14ac:dyDescent="0.35">
      <c r="A36" s="22" t="s">
        <v>3162</v>
      </c>
      <c r="B36" s="322">
        <v>25</v>
      </c>
      <c r="C36" s="22" t="s">
        <v>1466</v>
      </c>
      <c r="D36" s="22" t="s">
        <v>3133</v>
      </c>
      <c r="E36" s="316"/>
    </row>
    <row r="37" spans="1:5" ht="15" customHeight="1" x14ac:dyDescent="0.35">
      <c r="A37" s="22" t="s">
        <v>3161</v>
      </c>
      <c r="B37" s="321">
        <v>250</v>
      </c>
      <c r="C37" s="22" t="s">
        <v>1466</v>
      </c>
      <c r="D37" s="22" t="s">
        <v>3133</v>
      </c>
      <c r="E37" s="316"/>
    </row>
    <row r="38" spans="1:5" ht="15" customHeight="1" x14ac:dyDescent="0.35">
      <c r="A38" s="22" t="s">
        <v>3160</v>
      </c>
      <c r="B38" s="322">
        <v>5000</v>
      </c>
      <c r="C38" s="22" t="s">
        <v>1466</v>
      </c>
      <c r="D38" s="22" t="s">
        <v>3133</v>
      </c>
      <c r="E38" s="316"/>
    </row>
    <row r="39" spans="1:5" ht="15" customHeight="1" x14ac:dyDescent="0.35">
      <c r="A39" s="22" t="s">
        <v>3159</v>
      </c>
      <c r="B39" s="324">
        <v>0.82</v>
      </c>
      <c r="C39" s="22" t="s">
        <v>3156</v>
      </c>
      <c r="D39" s="22" t="s">
        <v>3133</v>
      </c>
      <c r="E39" s="316" t="s">
        <v>3158</v>
      </c>
    </row>
    <row r="40" spans="1:5" ht="15" customHeight="1" x14ac:dyDescent="0.35">
      <c r="A40" s="22" t="s">
        <v>3157</v>
      </c>
      <c r="B40" s="324">
        <v>1.3</v>
      </c>
      <c r="C40" s="22" t="s">
        <v>3156</v>
      </c>
      <c r="D40" s="22" t="s">
        <v>3133</v>
      </c>
      <c r="E40" s="316" t="s">
        <v>3155</v>
      </c>
    </row>
    <row r="41" spans="1:5" ht="15" customHeight="1" x14ac:dyDescent="0.35">
      <c r="A41" s="323" t="s">
        <v>3154</v>
      </c>
    </row>
    <row r="42" spans="1:5" ht="15" customHeight="1" x14ac:dyDescent="0.35">
      <c r="A42" s="22" t="s">
        <v>3153</v>
      </c>
      <c r="B42" s="322">
        <v>220000000</v>
      </c>
      <c r="C42" s="22" t="s">
        <v>1450</v>
      </c>
      <c r="D42" s="22" t="s">
        <v>3133</v>
      </c>
      <c r="E42" s="316" t="s">
        <v>3152</v>
      </c>
    </row>
    <row r="43" spans="1:5" ht="15" customHeight="1" x14ac:dyDescent="0.35">
      <c r="A43" s="22" t="s">
        <v>3151</v>
      </c>
      <c r="B43" s="322">
        <v>750000000</v>
      </c>
      <c r="C43" s="22" t="s">
        <v>1450</v>
      </c>
      <c r="D43" s="22" t="s">
        <v>3133</v>
      </c>
      <c r="E43" s="316" t="s">
        <v>3150</v>
      </c>
    </row>
    <row r="44" spans="1:5" ht="15" customHeight="1" x14ac:dyDescent="0.35">
      <c r="A44" s="22" t="s">
        <v>3149</v>
      </c>
      <c r="B44" s="321">
        <v>90000000</v>
      </c>
      <c r="C44" s="22" t="s">
        <v>1450</v>
      </c>
      <c r="D44" s="22" t="s">
        <v>3133</v>
      </c>
      <c r="E44" s="316"/>
    </row>
    <row r="45" spans="1:5" ht="15" customHeight="1" x14ac:dyDescent="0.35">
      <c r="A45" s="22" t="s">
        <v>3148</v>
      </c>
      <c r="B45" s="321">
        <v>30000000</v>
      </c>
      <c r="C45" s="22" t="s">
        <v>1450</v>
      </c>
      <c r="D45" s="22" t="s">
        <v>3133</v>
      </c>
      <c r="E45" s="316"/>
    </row>
    <row r="46" spans="1:5" ht="15" customHeight="1" x14ac:dyDescent="0.35">
      <c r="A46" s="22" t="s">
        <v>3147</v>
      </c>
      <c r="B46" s="321">
        <v>35000000</v>
      </c>
      <c r="C46" s="22" t="s">
        <v>1450</v>
      </c>
      <c r="D46" s="22" t="s">
        <v>3133</v>
      </c>
      <c r="E46" s="316"/>
    </row>
    <row r="47" spans="1:5" ht="15" customHeight="1" x14ac:dyDescent="0.35">
      <c r="A47" s="22" t="s">
        <v>3146</v>
      </c>
      <c r="B47" s="322">
        <v>1500000000</v>
      </c>
      <c r="C47" s="22" t="s">
        <v>1450</v>
      </c>
      <c r="D47" s="22" t="s">
        <v>3145</v>
      </c>
      <c r="E47" s="316" t="s">
        <v>3144</v>
      </c>
    </row>
    <row r="48" spans="1:5" ht="15" customHeight="1" x14ac:dyDescent="0.35">
      <c r="A48" s="323" t="s">
        <v>3143</v>
      </c>
    </row>
    <row r="49" spans="1:5" ht="15" customHeight="1" x14ac:dyDescent="0.35">
      <c r="A49" s="22" t="s">
        <v>3142</v>
      </c>
      <c r="B49" s="322">
        <v>48</v>
      </c>
      <c r="C49" s="22" t="s">
        <v>3141</v>
      </c>
      <c r="D49" s="22" t="s">
        <v>3133</v>
      </c>
      <c r="E49" s="316" t="s">
        <v>3140</v>
      </c>
    </row>
    <row r="50" spans="1:5" ht="15" customHeight="1" x14ac:dyDescent="0.35">
      <c r="A50" s="22" t="s">
        <v>3139</v>
      </c>
      <c r="B50" s="322">
        <v>30</v>
      </c>
      <c r="C50" s="22" t="s">
        <v>3138</v>
      </c>
      <c r="D50" s="22" t="s">
        <v>3133</v>
      </c>
      <c r="E50" s="316"/>
    </row>
    <row r="51" spans="1:5" ht="15" customHeight="1" x14ac:dyDescent="0.35">
      <c r="A51" s="22" t="s">
        <v>3137</v>
      </c>
      <c r="B51" s="321">
        <v>13</v>
      </c>
      <c r="C51" s="22" t="s">
        <v>3136</v>
      </c>
      <c r="D51" s="22" t="s">
        <v>3133</v>
      </c>
      <c r="E51" s="316"/>
    </row>
    <row r="52" spans="1:5" ht="15" customHeight="1" x14ac:dyDescent="0.35">
      <c r="A52" s="22" t="s">
        <v>3135</v>
      </c>
      <c r="B52" s="321">
        <v>6</v>
      </c>
      <c r="C52" s="22" t="s">
        <v>3134</v>
      </c>
      <c r="D52" s="22" t="s">
        <v>3133</v>
      </c>
      <c r="E52" s="316"/>
    </row>
    <row r="53" spans="1:5" ht="15" customHeight="1" x14ac:dyDescent="0.35">
      <c r="A53" s="22" t="s">
        <v>3132</v>
      </c>
      <c r="B53" s="320">
        <f>'Assumptions (2)'!$B$51*'Assumptions (2)'!$B$52</f>
        <v>78</v>
      </c>
      <c r="C53" s="22" t="s">
        <v>3131</v>
      </c>
      <c r="D53" s="22" t="s">
        <v>1092</v>
      </c>
    </row>
    <row r="54" spans="1:5" ht="15" customHeight="1" x14ac:dyDescent="0.35">
      <c r="A54" s="22" t="s">
        <v>3130</v>
      </c>
      <c r="B54" s="319">
        <f>'Assumptions (2)'!$B$49*'Assumptions (2)'!$B$50/1000</f>
        <v>1.44</v>
      </c>
      <c r="C54" s="22" t="s">
        <v>3129</v>
      </c>
      <c r="D54" s="22" t="s">
        <v>1092</v>
      </c>
    </row>
  </sheetData>
  <pageMargins left="0.75" right="0.75" top="1" bottom="1" header="0.511811023622047" footer="0.511811023622047"/>
  <pageSetup paperSize="9" orientation="portrait" horizontalDpi="300" verticalDpi="300"/>
  <legacy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08005-A49B-47B3-A34E-66E337BB6079}">
  <sheetPr>
    <tabColor rgb="FFE67E22"/>
  </sheetPr>
  <dimension ref="A1:I86"/>
  <sheetViews>
    <sheetView zoomScale="64" workbookViewId="0">
      <pane ySplit="1" topLeftCell="A47" activePane="bottomLeft" state="frozen"/>
      <selection pane="bottomLeft"/>
    </sheetView>
  </sheetViews>
  <sheetFormatPr defaultRowHeight="14.5" x14ac:dyDescent="0.35"/>
  <cols>
    <col min="1" max="1" width="6.453125" customWidth="1"/>
    <col min="2" max="2" width="20" customWidth="1"/>
    <col min="3" max="3" width="47.26953125" customWidth="1"/>
    <col min="4" max="4" width="29.1796875" customWidth="1"/>
    <col min="5" max="5" width="21.81640625" customWidth="1"/>
    <col min="6" max="6" width="36.453125" customWidth="1"/>
    <col min="7" max="7" width="29.1796875" customWidth="1"/>
    <col min="8" max="8" width="47.26953125" customWidth="1"/>
    <col min="9" max="9" width="75.7265625" customWidth="1"/>
  </cols>
  <sheetData>
    <row r="1" spans="1:9" ht="15" thickBot="1" x14ac:dyDescent="0.4">
      <c r="A1" s="244" t="s">
        <v>1481</v>
      </c>
      <c r="B1" s="245" t="s">
        <v>1482</v>
      </c>
      <c r="C1" s="245" t="s">
        <v>1483</v>
      </c>
      <c r="D1" s="246" t="s">
        <v>1484</v>
      </c>
      <c r="E1" s="245" t="s">
        <v>1485</v>
      </c>
      <c r="F1" s="245" t="s">
        <v>1486</v>
      </c>
      <c r="G1" s="245" t="s">
        <v>1487</v>
      </c>
      <c r="H1" s="245" t="s">
        <v>1488</v>
      </c>
      <c r="I1" s="247" t="s">
        <v>1489</v>
      </c>
    </row>
    <row r="2" spans="1:9" ht="18" customHeight="1" x14ac:dyDescent="0.35">
      <c r="A2" s="248">
        <v>1</v>
      </c>
      <c r="B2" s="240" t="s">
        <v>1490</v>
      </c>
      <c r="C2" s="240" t="s">
        <v>1491</v>
      </c>
      <c r="D2" s="241">
        <v>18039</v>
      </c>
      <c r="E2" s="240" t="s">
        <v>1492</v>
      </c>
      <c r="F2" s="240" t="s">
        <v>1493</v>
      </c>
      <c r="G2" s="242" t="s">
        <v>1494</v>
      </c>
      <c r="H2" s="243" t="s">
        <v>1495</v>
      </c>
      <c r="I2" s="252" t="s">
        <v>1496</v>
      </c>
    </row>
    <row r="3" spans="1:9" ht="18" customHeight="1" x14ac:dyDescent="0.35">
      <c r="A3" s="249">
        <v>2</v>
      </c>
      <c r="B3" s="209" t="s">
        <v>1497</v>
      </c>
      <c r="C3" s="209" t="s">
        <v>1498</v>
      </c>
      <c r="D3" s="210">
        <v>0.11</v>
      </c>
      <c r="E3" s="209" t="s">
        <v>1385</v>
      </c>
      <c r="F3" s="209" t="s">
        <v>1499</v>
      </c>
      <c r="G3" s="211" t="s">
        <v>1494</v>
      </c>
      <c r="H3" s="212" t="s">
        <v>1500</v>
      </c>
      <c r="I3" s="253" t="s">
        <v>1501</v>
      </c>
    </row>
    <row r="4" spans="1:9" ht="18" customHeight="1" x14ac:dyDescent="0.35">
      <c r="A4" s="250">
        <v>3</v>
      </c>
      <c r="B4" s="205" t="s">
        <v>1497</v>
      </c>
      <c r="C4" s="205" t="s">
        <v>1502</v>
      </c>
      <c r="D4" s="213">
        <v>0.12</v>
      </c>
      <c r="E4" s="205" t="s">
        <v>1385</v>
      </c>
      <c r="F4" s="205" t="s">
        <v>1503</v>
      </c>
      <c r="G4" s="207" t="s">
        <v>1494</v>
      </c>
      <c r="H4" s="208" t="s">
        <v>1500</v>
      </c>
      <c r="I4" s="254" t="s">
        <v>1504</v>
      </c>
    </row>
    <row r="5" spans="1:9" ht="18" customHeight="1" x14ac:dyDescent="0.35">
      <c r="A5" s="249">
        <v>4</v>
      </c>
      <c r="B5" s="209" t="s">
        <v>1505</v>
      </c>
      <c r="C5" s="209" t="s">
        <v>1506</v>
      </c>
      <c r="D5" s="214">
        <v>1444.7</v>
      </c>
      <c r="E5" s="209" t="s">
        <v>1507</v>
      </c>
      <c r="F5" s="209" t="s">
        <v>1508</v>
      </c>
      <c r="G5" s="215" t="s">
        <v>1509</v>
      </c>
      <c r="H5" s="212" t="s">
        <v>1510</v>
      </c>
      <c r="I5" s="253" t="s">
        <v>1511</v>
      </c>
    </row>
    <row r="6" spans="1:9" ht="18" customHeight="1" x14ac:dyDescent="0.35">
      <c r="A6" s="250">
        <v>5</v>
      </c>
      <c r="B6" s="205" t="s">
        <v>1505</v>
      </c>
      <c r="C6" s="205" t="s">
        <v>1512</v>
      </c>
      <c r="D6" s="216">
        <v>1114.74</v>
      </c>
      <c r="E6" s="205" t="s">
        <v>1507</v>
      </c>
      <c r="F6" s="205" t="s">
        <v>1513</v>
      </c>
      <c r="G6" s="217" t="s">
        <v>1509</v>
      </c>
      <c r="H6" s="208" t="s">
        <v>1510</v>
      </c>
      <c r="I6" s="254" t="s">
        <v>1514</v>
      </c>
    </row>
    <row r="7" spans="1:9" ht="18" customHeight="1" x14ac:dyDescent="0.35">
      <c r="A7" s="249">
        <v>6</v>
      </c>
      <c r="B7" s="209" t="s">
        <v>171</v>
      </c>
      <c r="C7" s="209" t="s">
        <v>1515</v>
      </c>
      <c r="D7" s="218">
        <v>5729876</v>
      </c>
      <c r="E7" s="209" t="s">
        <v>1516</v>
      </c>
      <c r="F7" s="209" t="s">
        <v>1517</v>
      </c>
      <c r="G7" s="211" t="s">
        <v>1494</v>
      </c>
      <c r="H7" s="212" t="s">
        <v>1518</v>
      </c>
      <c r="I7" s="253" t="s">
        <v>1519</v>
      </c>
    </row>
    <row r="8" spans="1:9" ht="18" customHeight="1" x14ac:dyDescent="0.35">
      <c r="A8" s="250">
        <v>7</v>
      </c>
      <c r="B8" s="205" t="s">
        <v>171</v>
      </c>
      <c r="C8" s="205" t="s">
        <v>1520</v>
      </c>
      <c r="D8" s="206">
        <v>4737678</v>
      </c>
      <c r="E8" s="205" t="s">
        <v>1516</v>
      </c>
      <c r="F8" s="205" t="s">
        <v>1517</v>
      </c>
      <c r="G8" s="207" t="s">
        <v>1494</v>
      </c>
      <c r="H8" s="208" t="s">
        <v>1521</v>
      </c>
      <c r="I8" s="254" t="s">
        <v>1522</v>
      </c>
    </row>
    <row r="9" spans="1:9" ht="18" customHeight="1" x14ac:dyDescent="0.35">
      <c r="A9" s="249">
        <v>8</v>
      </c>
      <c r="B9" s="209" t="s">
        <v>171</v>
      </c>
      <c r="C9" s="209" t="s">
        <v>1523</v>
      </c>
      <c r="D9" s="218">
        <v>5999443</v>
      </c>
      <c r="E9" s="209" t="s">
        <v>1516</v>
      </c>
      <c r="F9" s="209" t="s">
        <v>1517</v>
      </c>
      <c r="G9" s="211" t="s">
        <v>1494</v>
      </c>
      <c r="H9" s="212" t="s">
        <v>1524</v>
      </c>
      <c r="I9" s="253" t="s">
        <v>1525</v>
      </c>
    </row>
    <row r="10" spans="1:9" ht="18" customHeight="1" x14ac:dyDescent="0.35">
      <c r="A10" s="250">
        <v>9</v>
      </c>
      <c r="B10" s="205" t="s">
        <v>171</v>
      </c>
      <c r="C10" s="205" t="s">
        <v>1526</v>
      </c>
      <c r="D10" s="206">
        <v>5938885</v>
      </c>
      <c r="E10" s="205" t="s">
        <v>1516</v>
      </c>
      <c r="F10" s="205" t="s">
        <v>1517</v>
      </c>
      <c r="G10" s="207" t="s">
        <v>1494</v>
      </c>
      <c r="H10" s="208" t="s">
        <v>1527</v>
      </c>
      <c r="I10" s="254" t="s">
        <v>1528</v>
      </c>
    </row>
    <row r="11" spans="1:9" ht="18" customHeight="1" x14ac:dyDescent="0.35">
      <c r="A11" s="249">
        <v>10</v>
      </c>
      <c r="B11" s="209" t="s">
        <v>1529</v>
      </c>
      <c r="C11" s="209" t="s">
        <v>1530</v>
      </c>
      <c r="D11" s="219">
        <v>1.44</v>
      </c>
      <c r="E11" s="209" t="s">
        <v>1531</v>
      </c>
      <c r="F11" s="209" t="s">
        <v>1532</v>
      </c>
      <c r="G11" s="220" t="s">
        <v>1533</v>
      </c>
      <c r="H11" s="209" t="s">
        <v>1534</v>
      </c>
      <c r="I11" s="253" t="s">
        <v>1535</v>
      </c>
    </row>
    <row r="12" spans="1:9" ht="18" customHeight="1" x14ac:dyDescent="0.35">
      <c r="A12" s="250">
        <v>11</v>
      </c>
      <c r="B12" s="205" t="s">
        <v>1529</v>
      </c>
      <c r="C12" s="205" t="s">
        <v>1536</v>
      </c>
      <c r="D12" s="206">
        <v>108</v>
      </c>
      <c r="E12" s="205" t="s">
        <v>1396</v>
      </c>
      <c r="F12" s="205" t="s">
        <v>329</v>
      </c>
      <c r="G12" s="207" t="s">
        <v>1494</v>
      </c>
      <c r="H12" s="208" t="s">
        <v>1537</v>
      </c>
      <c r="I12" s="254" t="s">
        <v>1538</v>
      </c>
    </row>
    <row r="13" spans="1:9" ht="18" customHeight="1" x14ac:dyDescent="0.35">
      <c r="A13" s="249">
        <v>12</v>
      </c>
      <c r="B13" s="209" t="s">
        <v>1529</v>
      </c>
      <c r="C13" s="209" t="s">
        <v>1539</v>
      </c>
      <c r="D13" s="218">
        <v>81</v>
      </c>
      <c r="E13" s="209" t="s">
        <v>1396</v>
      </c>
      <c r="F13" s="209" t="s">
        <v>329</v>
      </c>
      <c r="G13" s="211" t="s">
        <v>1494</v>
      </c>
      <c r="H13" s="212" t="s">
        <v>1537</v>
      </c>
      <c r="I13" s="253" t="s">
        <v>1540</v>
      </c>
    </row>
    <row r="14" spans="1:9" ht="18" customHeight="1" x14ac:dyDescent="0.35">
      <c r="A14" s="250">
        <v>13</v>
      </c>
      <c r="B14" s="205" t="s">
        <v>1529</v>
      </c>
      <c r="C14" s="205" t="s">
        <v>1541</v>
      </c>
      <c r="D14" s="206">
        <v>84</v>
      </c>
      <c r="E14" s="205" t="s">
        <v>1396</v>
      </c>
      <c r="F14" s="205" t="s">
        <v>329</v>
      </c>
      <c r="G14" s="207" t="s">
        <v>1494</v>
      </c>
      <c r="H14" s="208" t="s">
        <v>1537</v>
      </c>
      <c r="I14" s="254" t="s">
        <v>1542</v>
      </c>
    </row>
    <row r="15" spans="1:9" ht="18" customHeight="1" x14ac:dyDescent="0.35">
      <c r="A15" s="249">
        <v>14</v>
      </c>
      <c r="B15" s="209" t="s">
        <v>1529</v>
      </c>
      <c r="C15" s="209" t="s">
        <v>1543</v>
      </c>
      <c r="D15" s="221">
        <v>133</v>
      </c>
      <c r="E15" s="209" t="s">
        <v>1396</v>
      </c>
      <c r="F15" s="209" t="s">
        <v>329</v>
      </c>
      <c r="G15" s="222" t="s">
        <v>1544</v>
      </c>
      <c r="H15" s="209" t="s">
        <v>1545</v>
      </c>
      <c r="I15" s="253" t="s">
        <v>1546</v>
      </c>
    </row>
    <row r="16" spans="1:9" ht="18" customHeight="1" x14ac:dyDescent="0.35">
      <c r="A16" s="250">
        <v>15</v>
      </c>
      <c r="B16" s="205" t="s">
        <v>1529</v>
      </c>
      <c r="C16" s="205" t="s">
        <v>1547</v>
      </c>
      <c r="D16" s="223">
        <f>D12*D11*$D$2</f>
        <v>2805425.28</v>
      </c>
      <c r="E16" s="205" t="s">
        <v>1548</v>
      </c>
      <c r="F16" s="205" t="s">
        <v>1549</v>
      </c>
      <c r="G16" s="224" t="s">
        <v>1550</v>
      </c>
      <c r="H16" s="208" t="s">
        <v>1551</v>
      </c>
      <c r="I16" s="254" t="s">
        <v>1552</v>
      </c>
    </row>
    <row r="17" spans="1:9" ht="18" customHeight="1" x14ac:dyDescent="0.35">
      <c r="A17" s="249">
        <v>16</v>
      </c>
      <c r="B17" s="209" t="s">
        <v>1529</v>
      </c>
      <c r="C17" s="209" t="s">
        <v>1553</v>
      </c>
      <c r="D17" s="225">
        <f>D13*D11*$D$2</f>
        <v>2104068.96</v>
      </c>
      <c r="E17" s="209" t="s">
        <v>1548</v>
      </c>
      <c r="F17" s="209" t="s">
        <v>1554</v>
      </c>
      <c r="G17" s="226" t="s">
        <v>1550</v>
      </c>
      <c r="H17" s="212" t="s">
        <v>1551</v>
      </c>
      <c r="I17" s="253" t="s">
        <v>1555</v>
      </c>
    </row>
    <row r="18" spans="1:9" ht="18" customHeight="1" x14ac:dyDescent="0.35">
      <c r="A18" s="250">
        <v>17</v>
      </c>
      <c r="B18" s="205" t="s">
        <v>1529</v>
      </c>
      <c r="C18" s="205" t="s">
        <v>1556</v>
      </c>
      <c r="D18" s="223">
        <f>D14*D11*$D$2</f>
        <v>2181997.44</v>
      </c>
      <c r="E18" s="205" t="s">
        <v>1548</v>
      </c>
      <c r="F18" s="205" t="s">
        <v>1557</v>
      </c>
      <c r="G18" s="224" t="s">
        <v>1550</v>
      </c>
      <c r="H18" s="208" t="s">
        <v>1551</v>
      </c>
      <c r="I18" s="254" t="s">
        <v>1558</v>
      </c>
    </row>
    <row r="19" spans="1:9" ht="18" customHeight="1" x14ac:dyDescent="0.35">
      <c r="A19" s="249">
        <v>18</v>
      </c>
      <c r="B19" s="209" t="s">
        <v>1529</v>
      </c>
      <c r="C19" s="209" t="s">
        <v>1559</v>
      </c>
      <c r="D19" s="227" t="s">
        <v>1560</v>
      </c>
      <c r="E19" s="209" t="s">
        <v>1561</v>
      </c>
      <c r="F19" s="209" t="s">
        <v>329</v>
      </c>
      <c r="G19" s="215" t="s">
        <v>1509</v>
      </c>
      <c r="H19" s="212" t="s">
        <v>1562</v>
      </c>
      <c r="I19" s="253" t="s">
        <v>1563</v>
      </c>
    </row>
    <row r="20" spans="1:9" ht="18" customHeight="1" x14ac:dyDescent="0.35">
      <c r="A20" s="250">
        <v>19</v>
      </c>
      <c r="B20" s="205" t="s">
        <v>1529</v>
      </c>
      <c r="C20" s="205" t="s">
        <v>1564</v>
      </c>
      <c r="D20" s="228" t="s">
        <v>1565</v>
      </c>
      <c r="E20" s="205" t="s">
        <v>1548</v>
      </c>
      <c r="F20" s="205" t="s">
        <v>1566</v>
      </c>
      <c r="G20" s="224" t="s">
        <v>1550</v>
      </c>
      <c r="H20" s="208" t="s">
        <v>1567</v>
      </c>
      <c r="I20" s="254" t="s">
        <v>1568</v>
      </c>
    </row>
    <row r="21" spans="1:9" ht="18" customHeight="1" x14ac:dyDescent="0.35">
      <c r="A21" s="249">
        <v>20</v>
      </c>
      <c r="B21" s="209" t="s">
        <v>1529</v>
      </c>
      <c r="C21" s="209" t="s">
        <v>1569</v>
      </c>
      <c r="D21" s="227" t="s">
        <v>1570</v>
      </c>
      <c r="E21" s="209" t="s">
        <v>1561</v>
      </c>
      <c r="F21" s="209" t="s">
        <v>329</v>
      </c>
      <c r="G21" s="215" t="s">
        <v>1509</v>
      </c>
      <c r="H21" s="212" t="s">
        <v>1562</v>
      </c>
      <c r="I21" s="253" t="s">
        <v>1571</v>
      </c>
    </row>
    <row r="22" spans="1:9" ht="18" customHeight="1" x14ac:dyDescent="0.35">
      <c r="A22" s="250">
        <v>21</v>
      </c>
      <c r="B22" s="205" t="s">
        <v>1529</v>
      </c>
      <c r="C22" s="205" t="s">
        <v>1572</v>
      </c>
      <c r="D22" s="228" t="s">
        <v>1573</v>
      </c>
      <c r="E22" s="205" t="s">
        <v>1548</v>
      </c>
      <c r="F22" s="205" t="s">
        <v>1574</v>
      </c>
      <c r="G22" s="224" t="s">
        <v>1550</v>
      </c>
      <c r="H22" s="208" t="s">
        <v>1567</v>
      </c>
      <c r="I22" s="254" t="s">
        <v>1575</v>
      </c>
    </row>
    <row r="23" spans="1:9" ht="18" customHeight="1" x14ac:dyDescent="0.35">
      <c r="A23" s="249">
        <v>22</v>
      </c>
      <c r="B23" s="209" t="s">
        <v>1529</v>
      </c>
      <c r="C23" s="209" t="s">
        <v>1576</v>
      </c>
      <c r="D23" s="227" t="s">
        <v>1577</v>
      </c>
      <c r="E23" s="209" t="s">
        <v>1578</v>
      </c>
      <c r="F23" s="209" t="s">
        <v>329</v>
      </c>
      <c r="G23" s="215" t="s">
        <v>1509</v>
      </c>
      <c r="H23" s="212" t="s">
        <v>1562</v>
      </c>
      <c r="I23" s="253" t="s">
        <v>1579</v>
      </c>
    </row>
    <row r="24" spans="1:9" ht="18" customHeight="1" x14ac:dyDescent="0.35">
      <c r="A24" s="250">
        <v>23</v>
      </c>
      <c r="B24" s="205" t="s">
        <v>1529</v>
      </c>
      <c r="C24" s="205" t="s">
        <v>1580</v>
      </c>
      <c r="D24" s="228" t="s">
        <v>1581</v>
      </c>
      <c r="E24" s="205" t="s">
        <v>1582</v>
      </c>
      <c r="F24" s="205" t="s">
        <v>1583</v>
      </c>
      <c r="G24" s="217" t="s">
        <v>1509</v>
      </c>
      <c r="H24" s="208" t="s">
        <v>1562</v>
      </c>
      <c r="I24" s="254" t="s">
        <v>1584</v>
      </c>
    </row>
    <row r="25" spans="1:9" ht="18" customHeight="1" x14ac:dyDescent="0.35">
      <c r="A25" s="249">
        <v>24</v>
      </c>
      <c r="B25" s="209" t="s">
        <v>1529</v>
      </c>
      <c r="C25" s="209" t="s">
        <v>1585</v>
      </c>
      <c r="D25" s="220" t="s">
        <v>1586</v>
      </c>
      <c r="E25" s="209" t="s">
        <v>1587</v>
      </c>
      <c r="F25" s="209" t="s">
        <v>1588</v>
      </c>
      <c r="G25" s="220" t="s">
        <v>1533</v>
      </c>
      <c r="H25" s="209" t="s">
        <v>1589</v>
      </c>
      <c r="I25" s="253" t="s">
        <v>1590</v>
      </c>
    </row>
    <row r="26" spans="1:9" ht="18" customHeight="1" x14ac:dyDescent="0.35">
      <c r="A26" s="250">
        <v>25</v>
      </c>
      <c r="B26" s="205" t="s">
        <v>1529</v>
      </c>
      <c r="C26" s="205" t="s">
        <v>1591</v>
      </c>
      <c r="D26" s="229" t="s">
        <v>1592</v>
      </c>
      <c r="E26" s="205" t="s">
        <v>1593</v>
      </c>
      <c r="F26" s="205" t="s">
        <v>1594</v>
      </c>
      <c r="G26" s="229" t="s">
        <v>1533</v>
      </c>
      <c r="H26" s="205" t="s">
        <v>1595</v>
      </c>
      <c r="I26" s="254" t="s">
        <v>1596</v>
      </c>
    </row>
    <row r="27" spans="1:9" ht="18" customHeight="1" x14ac:dyDescent="0.35">
      <c r="A27" s="249">
        <v>26</v>
      </c>
      <c r="B27" s="209" t="s">
        <v>1529</v>
      </c>
      <c r="C27" s="209" t="s">
        <v>1597</v>
      </c>
      <c r="D27" s="215" t="s">
        <v>1598</v>
      </c>
      <c r="E27" s="209" t="s">
        <v>1548</v>
      </c>
      <c r="F27" s="209" t="s">
        <v>1599</v>
      </c>
      <c r="G27" s="215" t="s">
        <v>1509</v>
      </c>
      <c r="H27" s="212" t="s">
        <v>1567</v>
      </c>
      <c r="I27" s="253" t="s">
        <v>1600</v>
      </c>
    </row>
    <row r="28" spans="1:9" ht="18" customHeight="1" x14ac:dyDescent="0.35">
      <c r="A28" s="250">
        <v>27</v>
      </c>
      <c r="B28" s="205" t="s">
        <v>1529</v>
      </c>
      <c r="C28" s="205" t="s">
        <v>1601</v>
      </c>
      <c r="D28" s="229" t="s">
        <v>1602</v>
      </c>
      <c r="E28" s="205" t="s">
        <v>1548</v>
      </c>
      <c r="F28" s="205" t="s">
        <v>1603</v>
      </c>
      <c r="G28" s="229" t="s">
        <v>1533</v>
      </c>
      <c r="H28" s="205" t="s">
        <v>1589</v>
      </c>
      <c r="I28" s="254" t="s">
        <v>1604</v>
      </c>
    </row>
    <row r="29" spans="1:9" ht="18" customHeight="1" x14ac:dyDescent="0.35">
      <c r="A29" s="249">
        <v>28</v>
      </c>
      <c r="B29" s="209" t="s">
        <v>1605</v>
      </c>
      <c r="C29" s="209" t="s">
        <v>1606</v>
      </c>
      <c r="D29" s="227" t="s">
        <v>1607</v>
      </c>
      <c r="E29" s="209" t="s">
        <v>1608</v>
      </c>
      <c r="F29" s="209" t="s">
        <v>329</v>
      </c>
      <c r="G29" s="215" t="s">
        <v>1509</v>
      </c>
      <c r="H29" s="212" t="s">
        <v>1562</v>
      </c>
      <c r="I29" s="253" t="s">
        <v>1609</v>
      </c>
    </row>
    <row r="30" spans="1:9" ht="18" customHeight="1" x14ac:dyDescent="0.35">
      <c r="A30" s="250">
        <v>29</v>
      </c>
      <c r="B30" s="205" t="s">
        <v>1605</v>
      </c>
      <c r="C30" s="205" t="s">
        <v>1610</v>
      </c>
      <c r="D30" s="229" t="s">
        <v>1611</v>
      </c>
      <c r="E30" s="205" t="s">
        <v>1612</v>
      </c>
      <c r="F30" s="205" t="s">
        <v>1613</v>
      </c>
      <c r="G30" s="224" t="s">
        <v>1550</v>
      </c>
      <c r="H30" s="208" t="s">
        <v>1567</v>
      </c>
      <c r="I30" s="254" t="s">
        <v>1614</v>
      </c>
    </row>
    <row r="31" spans="1:9" ht="18" customHeight="1" x14ac:dyDescent="0.35">
      <c r="A31" s="249">
        <v>30</v>
      </c>
      <c r="B31" s="209" t="s">
        <v>1605</v>
      </c>
      <c r="C31" s="209" t="s">
        <v>1615</v>
      </c>
      <c r="D31" s="218">
        <v>10</v>
      </c>
      <c r="E31" s="209" t="s">
        <v>1616</v>
      </c>
      <c r="F31" s="209" t="s">
        <v>329</v>
      </c>
      <c r="G31" s="215" t="s">
        <v>1509</v>
      </c>
      <c r="H31" s="212" t="s">
        <v>1562</v>
      </c>
      <c r="I31" s="253" t="s">
        <v>1617</v>
      </c>
    </row>
    <row r="32" spans="1:9" ht="18" customHeight="1" x14ac:dyDescent="0.35">
      <c r="A32" s="250">
        <v>31</v>
      </c>
      <c r="B32" s="205" t="s">
        <v>1605</v>
      </c>
      <c r="C32" s="205" t="s">
        <v>1618</v>
      </c>
      <c r="D32" s="228" t="s">
        <v>1619</v>
      </c>
      <c r="E32" s="205" t="s">
        <v>1620</v>
      </c>
      <c r="F32" s="205" t="s">
        <v>329</v>
      </c>
      <c r="G32" s="217" t="s">
        <v>1509</v>
      </c>
      <c r="H32" s="208" t="s">
        <v>1562</v>
      </c>
      <c r="I32" s="254" t="s">
        <v>1621</v>
      </c>
    </row>
    <row r="33" spans="1:9" ht="18" customHeight="1" x14ac:dyDescent="0.35">
      <c r="A33" s="249">
        <v>32</v>
      </c>
      <c r="B33" s="209" t="s">
        <v>1605</v>
      </c>
      <c r="C33" s="209" t="s">
        <v>1622</v>
      </c>
      <c r="D33" s="227" t="s">
        <v>1623</v>
      </c>
      <c r="E33" s="209" t="s">
        <v>1624</v>
      </c>
      <c r="F33" s="209" t="s">
        <v>1625</v>
      </c>
      <c r="G33" s="215" t="s">
        <v>1509</v>
      </c>
      <c r="H33" s="212" t="s">
        <v>1562</v>
      </c>
      <c r="I33" s="253" t="s">
        <v>1626</v>
      </c>
    </row>
    <row r="34" spans="1:9" ht="18" customHeight="1" x14ac:dyDescent="0.35">
      <c r="A34" s="250">
        <v>33</v>
      </c>
      <c r="B34" s="205" t="s">
        <v>1605</v>
      </c>
      <c r="C34" s="205" t="s">
        <v>1627</v>
      </c>
      <c r="D34" s="228" t="s">
        <v>1628</v>
      </c>
      <c r="E34" s="205" t="s">
        <v>1629</v>
      </c>
      <c r="F34" s="205" t="s">
        <v>1630</v>
      </c>
      <c r="G34" s="224" t="s">
        <v>1550</v>
      </c>
      <c r="H34" s="208" t="s">
        <v>1567</v>
      </c>
      <c r="I34" s="254" t="s">
        <v>1631</v>
      </c>
    </row>
    <row r="35" spans="1:9" ht="18" customHeight="1" x14ac:dyDescent="0.35">
      <c r="A35" s="249">
        <v>34</v>
      </c>
      <c r="B35" s="209" t="s">
        <v>1605</v>
      </c>
      <c r="C35" s="209" t="s">
        <v>1632</v>
      </c>
      <c r="D35" s="227" t="s">
        <v>1633</v>
      </c>
      <c r="E35" s="209" t="s">
        <v>1624</v>
      </c>
      <c r="F35" s="209" t="s">
        <v>1634</v>
      </c>
      <c r="G35" s="215" t="s">
        <v>1509</v>
      </c>
      <c r="H35" s="212" t="s">
        <v>1562</v>
      </c>
      <c r="I35" s="253" t="s">
        <v>1635</v>
      </c>
    </row>
    <row r="36" spans="1:9" ht="18" customHeight="1" x14ac:dyDescent="0.35">
      <c r="A36" s="250">
        <v>35</v>
      </c>
      <c r="B36" s="205" t="s">
        <v>1605</v>
      </c>
      <c r="C36" s="205" t="s">
        <v>1636</v>
      </c>
      <c r="D36" s="228" t="s">
        <v>1637</v>
      </c>
      <c r="E36" s="205" t="s">
        <v>1629</v>
      </c>
      <c r="F36" s="205" t="s">
        <v>1638</v>
      </c>
      <c r="G36" s="224" t="s">
        <v>1550</v>
      </c>
      <c r="H36" s="208" t="s">
        <v>1567</v>
      </c>
      <c r="I36" s="254" t="s">
        <v>1639</v>
      </c>
    </row>
    <row r="37" spans="1:9" ht="18" customHeight="1" x14ac:dyDescent="0.35">
      <c r="A37" s="249">
        <v>36</v>
      </c>
      <c r="B37" s="209" t="s">
        <v>1605</v>
      </c>
      <c r="C37" s="209" t="s">
        <v>1640</v>
      </c>
      <c r="D37" s="227" t="s">
        <v>1641</v>
      </c>
      <c r="E37" s="209" t="s">
        <v>1642</v>
      </c>
      <c r="F37" s="209" t="s">
        <v>1643</v>
      </c>
      <c r="G37" s="215" t="s">
        <v>1509</v>
      </c>
      <c r="H37" s="212" t="s">
        <v>1562</v>
      </c>
      <c r="I37" s="253" t="s">
        <v>1644</v>
      </c>
    </row>
    <row r="38" spans="1:9" ht="18" customHeight="1" x14ac:dyDescent="0.35">
      <c r="A38" s="250">
        <v>37</v>
      </c>
      <c r="B38" s="205" t="s">
        <v>1605</v>
      </c>
      <c r="C38" s="205" t="s">
        <v>1645</v>
      </c>
      <c r="D38" s="228" t="s">
        <v>1646</v>
      </c>
      <c r="E38" s="205" t="s">
        <v>1647</v>
      </c>
      <c r="F38" s="205" t="s">
        <v>1648</v>
      </c>
      <c r="G38" s="224" t="s">
        <v>1550</v>
      </c>
      <c r="H38" s="208" t="s">
        <v>1567</v>
      </c>
      <c r="I38" s="254" t="s">
        <v>1649</v>
      </c>
    </row>
    <row r="39" spans="1:9" ht="18" customHeight="1" x14ac:dyDescent="0.35">
      <c r="A39" s="249">
        <v>38</v>
      </c>
      <c r="B39" s="209" t="s">
        <v>1605</v>
      </c>
      <c r="C39" s="209" t="s">
        <v>1650</v>
      </c>
      <c r="D39" s="220" t="s">
        <v>1651</v>
      </c>
      <c r="E39" s="209" t="s">
        <v>1652</v>
      </c>
      <c r="F39" s="209" t="s">
        <v>1653</v>
      </c>
      <c r="G39" s="222" t="s">
        <v>1589</v>
      </c>
      <c r="H39" s="209" t="s">
        <v>1654</v>
      </c>
      <c r="I39" s="253" t="s">
        <v>1655</v>
      </c>
    </row>
    <row r="40" spans="1:9" ht="18" customHeight="1" x14ac:dyDescent="0.35">
      <c r="A40" s="250">
        <v>39</v>
      </c>
      <c r="B40" s="205" t="s">
        <v>1605</v>
      </c>
      <c r="C40" s="205" t="s">
        <v>1656</v>
      </c>
      <c r="D40" s="230">
        <v>0.9</v>
      </c>
      <c r="E40" s="205" t="s">
        <v>1385</v>
      </c>
      <c r="F40" s="205" t="s">
        <v>1657</v>
      </c>
      <c r="G40" s="229" t="s">
        <v>1533</v>
      </c>
      <c r="H40" s="205" t="s">
        <v>1595</v>
      </c>
      <c r="I40" s="254" t="s">
        <v>1658</v>
      </c>
    </row>
    <row r="41" spans="1:9" ht="18" customHeight="1" x14ac:dyDescent="0.35">
      <c r="A41" s="249">
        <v>40</v>
      </c>
      <c r="B41" s="209" t="s">
        <v>1605</v>
      </c>
      <c r="C41" s="209" t="s">
        <v>1659</v>
      </c>
      <c r="D41" s="231">
        <f>D11/D40</f>
        <v>1.5999999999999999</v>
      </c>
      <c r="E41" s="209" t="s">
        <v>1660</v>
      </c>
      <c r="F41" s="209" t="s">
        <v>1661</v>
      </c>
      <c r="G41" s="226" t="s">
        <v>1550</v>
      </c>
      <c r="H41" s="209" t="s">
        <v>1662</v>
      </c>
      <c r="I41" s="253" t="s">
        <v>1663</v>
      </c>
    </row>
    <row r="42" spans="1:9" ht="18" customHeight="1" x14ac:dyDescent="0.35">
      <c r="A42" s="250">
        <v>41</v>
      </c>
      <c r="B42" s="205" t="s">
        <v>1605</v>
      </c>
      <c r="C42" s="205" t="s">
        <v>1664</v>
      </c>
      <c r="D42" s="223">
        <f>D41*D5</f>
        <v>2311.52</v>
      </c>
      <c r="E42" s="205" t="s">
        <v>1665</v>
      </c>
      <c r="F42" s="205" t="s">
        <v>1666</v>
      </c>
      <c r="G42" s="224" t="s">
        <v>1550</v>
      </c>
      <c r="H42" s="208" t="s">
        <v>1667</v>
      </c>
      <c r="I42" s="254" t="s">
        <v>1668</v>
      </c>
    </row>
    <row r="43" spans="1:9" ht="18" customHeight="1" x14ac:dyDescent="0.35">
      <c r="A43" s="249">
        <v>42</v>
      </c>
      <c r="B43" s="209" t="s">
        <v>1605</v>
      </c>
      <c r="C43" s="209" t="s">
        <v>1669</v>
      </c>
      <c r="D43" s="215" t="s">
        <v>1670</v>
      </c>
      <c r="E43" s="209" t="s">
        <v>1671</v>
      </c>
      <c r="F43" s="209" t="s">
        <v>1672</v>
      </c>
      <c r="G43" s="215" t="s">
        <v>1509</v>
      </c>
      <c r="H43" s="212" t="s">
        <v>1562</v>
      </c>
      <c r="I43" s="253" t="s">
        <v>1673</v>
      </c>
    </row>
    <row r="44" spans="1:9" ht="18" customHeight="1" x14ac:dyDescent="0.35">
      <c r="A44" s="250">
        <v>43</v>
      </c>
      <c r="B44" s="205" t="s">
        <v>1605</v>
      </c>
      <c r="C44" s="205" t="s">
        <v>1674</v>
      </c>
      <c r="D44" s="217" t="s">
        <v>1675</v>
      </c>
      <c r="E44" s="205" t="s">
        <v>1676</v>
      </c>
      <c r="F44" s="205" t="s">
        <v>1672</v>
      </c>
      <c r="G44" s="217" t="s">
        <v>1509</v>
      </c>
      <c r="H44" s="208" t="s">
        <v>1562</v>
      </c>
      <c r="I44" s="254" t="s">
        <v>1677</v>
      </c>
    </row>
    <row r="45" spans="1:9" ht="18" customHeight="1" x14ac:dyDescent="0.35">
      <c r="A45" s="249">
        <v>44</v>
      </c>
      <c r="B45" s="209" t="s">
        <v>1605</v>
      </c>
      <c r="C45" s="209" t="s">
        <v>1678</v>
      </c>
      <c r="D45" s="220" t="s">
        <v>1679</v>
      </c>
      <c r="E45" s="209" t="s">
        <v>1680</v>
      </c>
      <c r="F45" s="209" t="s">
        <v>1681</v>
      </c>
      <c r="G45" s="220" t="s">
        <v>1533</v>
      </c>
      <c r="H45" s="209" t="s">
        <v>1682</v>
      </c>
      <c r="I45" s="253" t="s">
        <v>1683</v>
      </c>
    </row>
    <row r="46" spans="1:9" ht="18" customHeight="1" x14ac:dyDescent="0.35">
      <c r="A46" s="250">
        <v>45</v>
      </c>
      <c r="B46" s="205" t="s">
        <v>1605</v>
      </c>
      <c r="C46" s="205" t="s">
        <v>1684</v>
      </c>
      <c r="D46" s="232" t="s">
        <v>1685</v>
      </c>
      <c r="E46" s="205" t="s">
        <v>1516</v>
      </c>
      <c r="F46" s="205" t="s">
        <v>329</v>
      </c>
      <c r="G46" s="232" t="s">
        <v>1589</v>
      </c>
      <c r="H46" s="205" t="s">
        <v>1686</v>
      </c>
      <c r="I46" s="254" t="s">
        <v>1687</v>
      </c>
    </row>
    <row r="47" spans="1:9" ht="18" customHeight="1" x14ac:dyDescent="0.35">
      <c r="A47" s="249">
        <v>46</v>
      </c>
      <c r="B47" s="209" t="s">
        <v>878</v>
      </c>
      <c r="C47" s="209" t="s">
        <v>1688</v>
      </c>
      <c r="D47" s="233">
        <v>4.1599999999999998E-2</v>
      </c>
      <c r="E47" s="209" t="s">
        <v>1689</v>
      </c>
      <c r="F47" s="209" t="s">
        <v>329</v>
      </c>
      <c r="G47" s="215" t="s">
        <v>1509</v>
      </c>
      <c r="H47" s="212" t="s">
        <v>1690</v>
      </c>
      <c r="I47" s="253" t="s">
        <v>1691</v>
      </c>
    </row>
    <row r="48" spans="1:9" ht="18" customHeight="1" x14ac:dyDescent="0.35">
      <c r="A48" s="250">
        <v>47</v>
      </c>
      <c r="B48" s="205" t="s">
        <v>878</v>
      </c>
      <c r="C48" s="205" t="s">
        <v>1692</v>
      </c>
      <c r="D48" s="223">
        <f>D47*24*30*$D$2</f>
        <v>540304.12799999991</v>
      </c>
      <c r="E48" s="205" t="s">
        <v>1693</v>
      </c>
      <c r="F48" s="205" t="s">
        <v>1694</v>
      </c>
      <c r="G48" s="224" t="s">
        <v>1550</v>
      </c>
      <c r="H48" s="208" t="s">
        <v>1695</v>
      </c>
      <c r="I48" s="254" t="s">
        <v>1696</v>
      </c>
    </row>
    <row r="49" spans="1:9" ht="18" customHeight="1" x14ac:dyDescent="0.35">
      <c r="A49" s="249">
        <v>48</v>
      </c>
      <c r="B49" s="209" t="s">
        <v>878</v>
      </c>
      <c r="C49" s="209" t="s">
        <v>1697</v>
      </c>
      <c r="D49" s="233">
        <v>1.7999999999999999E-2</v>
      </c>
      <c r="E49" s="209" t="s">
        <v>1689</v>
      </c>
      <c r="F49" s="209" t="s">
        <v>329</v>
      </c>
      <c r="G49" s="215" t="s">
        <v>1509</v>
      </c>
      <c r="H49" s="212" t="s">
        <v>1698</v>
      </c>
      <c r="I49" s="253" t="s">
        <v>1699</v>
      </c>
    </row>
    <row r="50" spans="1:9" ht="18" customHeight="1" x14ac:dyDescent="0.35">
      <c r="A50" s="250">
        <v>49</v>
      </c>
      <c r="B50" s="205" t="s">
        <v>878</v>
      </c>
      <c r="C50" s="205" t="s">
        <v>1700</v>
      </c>
      <c r="D50" s="223">
        <f>D49*24*30*$D$2</f>
        <v>233785.43999999994</v>
      </c>
      <c r="E50" s="205" t="s">
        <v>1693</v>
      </c>
      <c r="F50" s="205" t="s">
        <v>1701</v>
      </c>
      <c r="G50" s="224" t="s">
        <v>1550</v>
      </c>
      <c r="H50" s="208" t="s">
        <v>1695</v>
      </c>
      <c r="I50" s="254" t="s">
        <v>1702</v>
      </c>
    </row>
    <row r="51" spans="1:9" ht="18" customHeight="1" x14ac:dyDescent="0.35">
      <c r="A51" s="249">
        <v>50</v>
      </c>
      <c r="B51" s="209" t="s">
        <v>878</v>
      </c>
      <c r="C51" s="209" t="s">
        <v>1703</v>
      </c>
      <c r="D51" s="209" t="s">
        <v>1704</v>
      </c>
      <c r="E51" s="209" t="s">
        <v>1705</v>
      </c>
      <c r="F51" s="209" t="s">
        <v>329</v>
      </c>
      <c r="G51" s="211" t="s">
        <v>1494</v>
      </c>
      <c r="H51" s="212" t="s">
        <v>1706</v>
      </c>
      <c r="I51" s="253" t="s">
        <v>1707</v>
      </c>
    </row>
    <row r="52" spans="1:9" ht="18" customHeight="1" x14ac:dyDescent="0.35">
      <c r="A52" s="250">
        <v>51</v>
      </c>
      <c r="B52" s="205" t="s">
        <v>878</v>
      </c>
      <c r="C52" s="205" t="s">
        <v>1708</v>
      </c>
      <c r="D52" s="206">
        <v>300000</v>
      </c>
      <c r="E52" s="205" t="s">
        <v>1709</v>
      </c>
      <c r="F52" s="205" t="s">
        <v>1710</v>
      </c>
      <c r="G52" s="217" t="s">
        <v>1509</v>
      </c>
      <c r="H52" s="208" t="s">
        <v>1711</v>
      </c>
      <c r="I52" s="254" t="s">
        <v>1712</v>
      </c>
    </row>
    <row r="53" spans="1:9" ht="18" customHeight="1" x14ac:dyDescent="0.35">
      <c r="A53" s="249">
        <v>52</v>
      </c>
      <c r="B53" s="209" t="s">
        <v>878</v>
      </c>
      <c r="C53" s="209" t="s">
        <v>1713</v>
      </c>
      <c r="D53" s="220" t="s">
        <v>1714</v>
      </c>
      <c r="E53" s="209" t="s">
        <v>1715</v>
      </c>
      <c r="F53" s="209" t="s">
        <v>1716</v>
      </c>
      <c r="G53" s="220" t="s">
        <v>1533</v>
      </c>
      <c r="H53" s="209" t="s">
        <v>1717</v>
      </c>
      <c r="I53" s="253" t="s">
        <v>1718</v>
      </c>
    </row>
    <row r="54" spans="1:9" ht="18" customHeight="1" x14ac:dyDescent="0.35">
      <c r="A54" s="250">
        <v>53</v>
      </c>
      <c r="B54" s="205" t="s">
        <v>878</v>
      </c>
      <c r="C54" s="205" t="s">
        <v>1719</v>
      </c>
      <c r="D54" s="229" t="s">
        <v>1720</v>
      </c>
      <c r="E54" s="205" t="s">
        <v>1721</v>
      </c>
      <c r="F54" s="205" t="s">
        <v>1722</v>
      </c>
      <c r="G54" s="229" t="s">
        <v>1533</v>
      </c>
      <c r="H54" s="205" t="s">
        <v>1723</v>
      </c>
      <c r="I54" s="254" t="s">
        <v>1724</v>
      </c>
    </row>
    <row r="55" spans="1:9" ht="18" customHeight="1" x14ac:dyDescent="0.35">
      <c r="A55" s="249">
        <v>54</v>
      </c>
      <c r="B55" s="209" t="s">
        <v>878</v>
      </c>
      <c r="C55" s="209" t="s">
        <v>1725</v>
      </c>
      <c r="D55" s="220" t="s">
        <v>1726</v>
      </c>
      <c r="E55" s="209" t="s">
        <v>1693</v>
      </c>
      <c r="F55" s="209" t="s">
        <v>1727</v>
      </c>
      <c r="G55" s="220" t="s">
        <v>1533</v>
      </c>
      <c r="H55" s="209" t="s">
        <v>1728</v>
      </c>
      <c r="I55" s="253" t="s">
        <v>1729</v>
      </c>
    </row>
    <row r="56" spans="1:9" ht="18" customHeight="1" x14ac:dyDescent="0.35">
      <c r="A56" s="250">
        <v>55</v>
      </c>
      <c r="B56" s="205" t="s">
        <v>878</v>
      </c>
      <c r="C56" s="205" t="s">
        <v>1730</v>
      </c>
      <c r="D56" s="229" t="s">
        <v>1651</v>
      </c>
      <c r="E56" s="205" t="s">
        <v>1731</v>
      </c>
      <c r="F56" s="205" t="s">
        <v>1732</v>
      </c>
      <c r="G56" s="229" t="s">
        <v>1533</v>
      </c>
      <c r="H56" s="205" t="s">
        <v>1723</v>
      </c>
      <c r="I56" s="254" t="s">
        <v>1733</v>
      </c>
    </row>
    <row r="57" spans="1:9" ht="18" customHeight="1" x14ac:dyDescent="0.35">
      <c r="A57" s="249">
        <v>56</v>
      </c>
      <c r="B57" s="209" t="s">
        <v>878</v>
      </c>
      <c r="C57" s="209" t="s">
        <v>1734</v>
      </c>
      <c r="D57" s="234" t="s">
        <v>1735</v>
      </c>
      <c r="E57" s="209" t="s">
        <v>1736</v>
      </c>
      <c r="F57" s="209" t="s">
        <v>329</v>
      </c>
      <c r="G57" s="222" t="s">
        <v>1595</v>
      </c>
      <c r="H57" s="209" t="s">
        <v>1737</v>
      </c>
      <c r="I57" s="253" t="s">
        <v>1738</v>
      </c>
    </row>
    <row r="58" spans="1:9" ht="18" customHeight="1" x14ac:dyDescent="0.35">
      <c r="A58" s="250">
        <v>57</v>
      </c>
      <c r="B58" s="205" t="s">
        <v>878</v>
      </c>
      <c r="C58" s="205" t="s">
        <v>1739</v>
      </c>
      <c r="D58" s="232" t="s">
        <v>1740</v>
      </c>
      <c r="E58" s="205" t="s">
        <v>1741</v>
      </c>
      <c r="F58" s="205" t="s">
        <v>329</v>
      </c>
      <c r="G58" s="232" t="s">
        <v>1595</v>
      </c>
      <c r="H58" s="205" t="s">
        <v>1737</v>
      </c>
      <c r="I58" s="254" t="s">
        <v>1742</v>
      </c>
    </row>
    <row r="59" spans="1:9" ht="18" customHeight="1" x14ac:dyDescent="0.35">
      <c r="A59" s="249">
        <v>58</v>
      </c>
      <c r="B59" s="209" t="s">
        <v>1743</v>
      </c>
      <c r="C59" s="209" t="s">
        <v>1744</v>
      </c>
      <c r="D59" s="218">
        <v>70</v>
      </c>
      <c r="E59" s="209" t="s">
        <v>1396</v>
      </c>
      <c r="F59" s="209" t="s">
        <v>329</v>
      </c>
      <c r="G59" s="211" t="s">
        <v>1494</v>
      </c>
      <c r="H59" s="212" t="s">
        <v>1537</v>
      </c>
      <c r="I59" s="253" t="s">
        <v>1745</v>
      </c>
    </row>
    <row r="60" spans="1:9" ht="18" customHeight="1" x14ac:dyDescent="0.35">
      <c r="A60" s="250">
        <v>59</v>
      </c>
      <c r="B60" s="205" t="s">
        <v>1743</v>
      </c>
      <c r="C60" s="205" t="s">
        <v>1746</v>
      </c>
      <c r="D60" s="223">
        <f>D59*$D$2</f>
        <v>1262730</v>
      </c>
      <c r="E60" s="205" t="s">
        <v>1507</v>
      </c>
      <c r="F60" s="205" t="s">
        <v>1747</v>
      </c>
      <c r="G60" s="224" t="s">
        <v>1550</v>
      </c>
      <c r="H60" s="208" t="s">
        <v>1551</v>
      </c>
      <c r="I60" s="254" t="s">
        <v>1748</v>
      </c>
    </row>
    <row r="61" spans="1:9" ht="18" customHeight="1" x14ac:dyDescent="0.35">
      <c r="A61" s="249">
        <v>60</v>
      </c>
      <c r="B61" s="209" t="s">
        <v>1743</v>
      </c>
      <c r="C61" s="209" t="s">
        <v>1749</v>
      </c>
      <c r="D61" s="218">
        <v>199</v>
      </c>
      <c r="E61" s="209" t="s">
        <v>1396</v>
      </c>
      <c r="F61" s="209" t="s">
        <v>329</v>
      </c>
      <c r="G61" s="211" t="s">
        <v>1494</v>
      </c>
      <c r="H61" s="212" t="s">
        <v>1750</v>
      </c>
      <c r="I61" s="253" t="s">
        <v>1751</v>
      </c>
    </row>
    <row r="62" spans="1:9" ht="18" customHeight="1" x14ac:dyDescent="0.35">
      <c r="A62" s="250">
        <v>61</v>
      </c>
      <c r="B62" s="205" t="s">
        <v>1743</v>
      </c>
      <c r="C62" s="205" t="s">
        <v>1752</v>
      </c>
      <c r="D62" s="223">
        <f>D61*$D$2</f>
        <v>3589761</v>
      </c>
      <c r="E62" s="205" t="s">
        <v>1507</v>
      </c>
      <c r="F62" s="205" t="s">
        <v>1753</v>
      </c>
      <c r="G62" s="224" t="s">
        <v>1550</v>
      </c>
      <c r="H62" s="208" t="s">
        <v>1754</v>
      </c>
      <c r="I62" s="254" t="s">
        <v>1755</v>
      </c>
    </row>
    <row r="63" spans="1:9" ht="18" customHeight="1" x14ac:dyDescent="0.35">
      <c r="A63" s="249">
        <v>62</v>
      </c>
      <c r="B63" s="209" t="s">
        <v>1743</v>
      </c>
      <c r="C63" s="209" t="s">
        <v>1756</v>
      </c>
      <c r="D63" s="235">
        <v>97.5</v>
      </c>
      <c r="E63" s="209" t="s">
        <v>1757</v>
      </c>
      <c r="F63" s="209" t="s">
        <v>329</v>
      </c>
      <c r="G63" s="211" t="s">
        <v>1494</v>
      </c>
      <c r="H63" s="212" t="s">
        <v>1750</v>
      </c>
      <c r="I63" s="253" t="s">
        <v>1758</v>
      </c>
    </row>
    <row r="64" spans="1:9" ht="18" customHeight="1" x14ac:dyDescent="0.35">
      <c r="A64" s="250">
        <v>63</v>
      </c>
      <c r="B64" s="205" t="s">
        <v>1743</v>
      </c>
      <c r="C64" s="205" t="s">
        <v>1759</v>
      </c>
      <c r="D64" s="223">
        <f>D63*$D$2</f>
        <v>1758802.5</v>
      </c>
      <c r="E64" s="205" t="s">
        <v>1760</v>
      </c>
      <c r="F64" s="205" t="s">
        <v>1761</v>
      </c>
      <c r="G64" s="224" t="s">
        <v>1550</v>
      </c>
      <c r="H64" s="208" t="s">
        <v>1754</v>
      </c>
      <c r="I64" s="254" t="s">
        <v>1762</v>
      </c>
    </row>
    <row r="65" spans="1:9" ht="18" customHeight="1" x14ac:dyDescent="0.35">
      <c r="A65" s="249">
        <v>64</v>
      </c>
      <c r="B65" s="209" t="s">
        <v>1743</v>
      </c>
      <c r="C65" s="209" t="s">
        <v>1763</v>
      </c>
      <c r="D65" s="236">
        <v>0.85</v>
      </c>
      <c r="E65" s="209" t="s">
        <v>1385</v>
      </c>
      <c r="F65" s="209" t="s">
        <v>329</v>
      </c>
      <c r="G65" s="211" t="s">
        <v>1494</v>
      </c>
      <c r="H65" s="212" t="s">
        <v>1764</v>
      </c>
      <c r="I65" s="253" t="s">
        <v>1765</v>
      </c>
    </row>
    <row r="66" spans="1:9" ht="18" customHeight="1" x14ac:dyDescent="0.35">
      <c r="A66" s="250">
        <v>65</v>
      </c>
      <c r="B66" s="205" t="s">
        <v>1743</v>
      </c>
      <c r="C66" s="205" t="s">
        <v>1766</v>
      </c>
      <c r="D66" s="213">
        <v>2.5000000000000001E-2</v>
      </c>
      <c r="E66" s="205" t="s">
        <v>1680</v>
      </c>
      <c r="F66" s="205" t="s">
        <v>1767</v>
      </c>
      <c r="G66" s="207" t="s">
        <v>1768</v>
      </c>
      <c r="H66" s="208" t="s">
        <v>1750</v>
      </c>
      <c r="I66" s="254" t="s">
        <v>1769</v>
      </c>
    </row>
    <row r="67" spans="1:9" ht="18" customHeight="1" x14ac:dyDescent="0.35">
      <c r="A67" s="249">
        <v>66</v>
      </c>
      <c r="B67" s="209" t="s">
        <v>1743</v>
      </c>
      <c r="C67" s="209" t="s">
        <v>1770</v>
      </c>
      <c r="D67" s="209" t="s">
        <v>1771</v>
      </c>
      <c r="E67" s="209" t="s">
        <v>1772</v>
      </c>
      <c r="F67" s="209" t="s">
        <v>329</v>
      </c>
      <c r="G67" s="211" t="s">
        <v>1768</v>
      </c>
      <c r="H67" s="212" t="s">
        <v>1773</v>
      </c>
      <c r="I67" s="253" t="s">
        <v>1774</v>
      </c>
    </row>
    <row r="68" spans="1:9" ht="18" customHeight="1" x14ac:dyDescent="0.35">
      <c r="A68" s="250">
        <v>67</v>
      </c>
      <c r="B68" s="205" t="s">
        <v>1743</v>
      </c>
      <c r="C68" s="205" t="s">
        <v>1775</v>
      </c>
      <c r="D68" s="232" t="s">
        <v>1776</v>
      </c>
      <c r="E68" s="205" t="s">
        <v>1507</v>
      </c>
      <c r="F68" s="205" t="s">
        <v>329</v>
      </c>
      <c r="G68" s="232" t="s">
        <v>1589</v>
      </c>
      <c r="H68" s="205" t="s">
        <v>1777</v>
      </c>
      <c r="I68" s="254" t="s">
        <v>1778</v>
      </c>
    </row>
    <row r="69" spans="1:9" ht="18" customHeight="1" x14ac:dyDescent="0.35">
      <c r="A69" s="249">
        <v>68</v>
      </c>
      <c r="B69" s="209" t="s">
        <v>1743</v>
      </c>
      <c r="C69" s="209" t="s">
        <v>1779</v>
      </c>
      <c r="D69" s="234" t="s">
        <v>1780</v>
      </c>
      <c r="E69" s="209" t="s">
        <v>1507</v>
      </c>
      <c r="F69" s="209" t="s">
        <v>329</v>
      </c>
      <c r="G69" s="222" t="s">
        <v>1589</v>
      </c>
      <c r="H69" s="209" t="s">
        <v>1781</v>
      </c>
      <c r="I69" s="253" t="s">
        <v>1782</v>
      </c>
    </row>
    <row r="70" spans="1:9" ht="18" customHeight="1" x14ac:dyDescent="0.35">
      <c r="A70" s="250">
        <v>69</v>
      </c>
      <c r="B70" s="205" t="s">
        <v>1743</v>
      </c>
      <c r="C70" s="205" t="s">
        <v>1783</v>
      </c>
      <c r="D70" s="229" t="s">
        <v>1784</v>
      </c>
      <c r="E70" s="205" t="s">
        <v>1785</v>
      </c>
      <c r="F70" s="205" t="s">
        <v>329</v>
      </c>
      <c r="G70" s="229" t="s">
        <v>1533</v>
      </c>
      <c r="H70" s="205" t="s">
        <v>1589</v>
      </c>
      <c r="I70" s="254" t="s">
        <v>1786</v>
      </c>
    </row>
    <row r="71" spans="1:9" ht="18" customHeight="1" x14ac:dyDescent="0.35">
      <c r="A71" s="249">
        <v>70</v>
      </c>
      <c r="B71" s="209" t="s">
        <v>1743</v>
      </c>
      <c r="C71" s="209" t="s">
        <v>1787</v>
      </c>
      <c r="D71" s="215" t="s">
        <v>1788</v>
      </c>
      <c r="E71" s="209" t="s">
        <v>1789</v>
      </c>
      <c r="F71" s="209" t="s">
        <v>1790</v>
      </c>
      <c r="G71" s="215" t="s">
        <v>1791</v>
      </c>
      <c r="H71" s="212" t="s">
        <v>1792</v>
      </c>
      <c r="I71" s="253" t="s">
        <v>1793</v>
      </c>
    </row>
    <row r="72" spans="1:9" ht="18" customHeight="1" x14ac:dyDescent="0.35">
      <c r="A72" s="250">
        <v>71</v>
      </c>
      <c r="B72" s="205" t="s">
        <v>1794</v>
      </c>
      <c r="C72" s="205" t="s">
        <v>1795</v>
      </c>
      <c r="D72" s="229" t="s">
        <v>1796</v>
      </c>
      <c r="E72" s="205" t="s">
        <v>1548</v>
      </c>
      <c r="F72" s="205" t="s">
        <v>1797</v>
      </c>
      <c r="G72" s="229" t="s">
        <v>1533</v>
      </c>
      <c r="H72" s="205" t="s">
        <v>1798</v>
      </c>
      <c r="I72" s="254" t="s">
        <v>1799</v>
      </c>
    </row>
    <row r="73" spans="1:9" ht="18" customHeight="1" x14ac:dyDescent="0.35">
      <c r="A73" s="249">
        <v>72</v>
      </c>
      <c r="B73" s="209" t="s">
        <v>1794</v>
      </c>
      <c r="C73" s="209" t="s">
        <v>1800</v>
      </c>
      <c r="D73" s="234" t="s">
        <v>1801</v>
      </c>
      <c r="E73" s="209" t="s">
        <v>1802</v>
      </c>
      <c r="F73" s="209" t="s">
        <v>329</v>
      </c>
      <c r="G73" s="222" t="s">
        <v>1595</v>
      </c>
      <c r="H73" s="209" t="s">
        <v>1803</v>
      </c>
      <c r="I73" s="253" t="s">
        <v>1804</v>
      </c>
    </row>
    <row r="74" spans="1:9" ht="18" customHeight="1" x14ac:dyDescent="0.35">
      <c r="A74" s="250">
        <v>73</v>
      </c>
      <c r="B74" s="205" t="s">
        <v>1794</v>
      </c>
      <c r="C74" s="205" t="s">
        <v>1805</v>
      </c>
      <c r="D74" s="232" t="s">
        <v>1685</v>
      </c>
      <c r="E74" s="205" t="s">
        <v>1806</v>
      </c>
      <c r="F74" s="205" t="s">
        <v>329</v>
      </c>
      <c r="G74" s="232" t="s">
        <v>1595</v>
      </c>
      <c r="H74" s="205" t="s">
        <v>1807</v>
      </c>
      <c r="I74" s="254" t="s">
        <v>1808</v>
      </c>
    </row>
    <row r="75" spans="1:9" ht="18" customHeight="1" x14ac:dyDescent="0.35">
      <c r="A75" s="249">
        <v>74</v>
      </c>
      <c r="B75" s="209" t="s">
        <v>1794</v>
      </c>
      <c r="C75" s="209" t="s">
        <v>1809</v>
      </c>
      <c r="D75" s="234" t="s">
        <v>1685</v>
      </c>
      <c r="E75" s="209" t="s">
        <v>1810</v>
      </c>
      <c r="F75" s="209" t="s">
        <v>329</v>
      </c>
      <c r="G75" s="222" t="s">
        <v>1595</v>
      </c>
      <c r="H75" s="209" t="s">
        <v>1811</v>
      </c>
      <c r="I75" s="253" t="s">
        <v>1812</v>
      </c>
    </row>
    <row r="76" spans="1:9" ht="18" customHeight="1" x14ac:dyDescent="0.35">
      <c r="A76" s="250">
        <v>75</v>
      </c>
      <c r="B76" s="205" t="s">
        <v>1794</v>
      </c>
      <c r="C76" s="205" t="s">
        <v>1813</v>
      </c>
      <c r="D76" s="229" t="s">
        <v>1679</v>
      </c>
      <c r="E76" s="205" t="s">
        <v>1680</v>
      </c>
      <c r="F76" s="205" t="s">
        <v>1681</v>
      </c>
      <c r="G76" s="229" t="s">
        <v>1533</v>
      </c>
      <c r="H76" s="205" t="s">
        <v>1814</v>
      </c>
      <c r="I76" s="254" t="s">
        <v>1815</v>
      </c>
    </row>
    <row r="77" spans="1:9" ht="18" customHeight="1" x14ac:dyDescent="0.35">
      <c r="A77" s="249">
        <v>76</v>
      </c>
      <c r="B77" s="209" t="s">
        <v>1794</v>
      </c>
      <c r="C77" s="209" t="s">
        <v>1816</v>
      </c>
      <c r="D77" s="237" t="s">
        <v>1788</v>
      </c>
      <c r="E77" s="209" t="s">
        <v>1789</v>
      </c>
      <c r="F77" s="209" t="s">
        <v>1817</v>
      </c>
      <c r="G77" s="215" t="s">
        <v>1791</v>
      </c>
      <c r="H77" s="212" t="s">
        <v>1818</v>
      </c>
      <c r="I77" s="253" t="s">
        <v>1819</v>
      </c>
    </row>
    <row r="78" spans="1:9" ht="18" customHeight="1" x14ac:dyDescent="0.35">
      <c r="A78" s="250">
        <v>77</v>
      </c>
      <c r="B78" s="205" t="s">
        <v>1820</v>
      </c>
      <c r="C78" s="205" t="s">
        <v>1821</v>
      </c>
      <c r="D78" s="229" t="s">
        <v>1822</v>
      </c>
      <c r="E78" s="205" t="s">
        <v>1385</v>
      </c>
      <c r="F78" s="205" t="s">
        <v>1823</v>
      </c>
      <c r="G78" s="229" t="s">
        <v>1533</v>
      </c>
      <c r="H78" s="205" t="s">
        <v>1595</v>
      </c>
      <c r="I78" s="254" t="s">
        <v>1824</v>
      </c>
    </row>
    <row r="79" spans="1:9" ht="18" customHeight="1" x14ac:dyDescent="0.35">
      <c r="A79" s="249">
        <v>78</v>
      </c>
      <c r="B79" s="209" t="s">
        <v>1820</v>
      </c>
      <c r="C79" s="209" t="s">
        <v>1825</v>
      </c>
      <c r="D79" s="220" t="s">
        <v>1826</v>
      </c>
      <c r="E79" s="209" t="s">
        <v>1385</v>
      </c>
      <c r="F79" s="209" t="s">
        <v>1827</v>
      </c>
      <c r="G79" s="220" t="s">
        <v>1533</v>
      </c>
      <c r="H79" s="209" t="s">
        <v>1595</v>
      </c>
      <c r="I79" s="253" t="s">
        <v>1828</v>
      </c>
    </row>
    <row r="80" spans="1:9" ht="18" customHeight="1" x14ac:dyDescent="0.35">
      <c r="A80" s="250">
        <v>79</v>
      </c>
      <c r="B80" s="205" t="s">
        <v>1820</v>
      </c>
      <c r="C80" s="205" t="s">
        <v>1829</v>
      </c>
      <c r="D80" s="229" t="s">
        <v>1830</v>
      </c>
      <c r="E80" s="205" t="s">
        <v>1831</v>
      </c>
      <c r="F80" s="205" t="s">
        <v>1832</v>
      </c>
      <c r="G80" s="229" t="s">
        <v>1533</v>
      </c>
      <c r="H80" s="205" t="s">
        <v>1833</v>
      </c>
      <c r="I80" s="254" t="s">
        <v>1834</v>
      </c>
    </row>
    <row r="81" spans="1:9" ht="18" customHeight="1" x14ac:dyDescent="0.35">
      <c r="A81" s="249">
        <v>80</v>
      </c>
      <c r="B81" s="209" t="s">
        <v>1820</v>
      </c>
      <c r="C81" s="209" t="s">
        <v>1835</v>
      </c>
      <c r="D81" s="234" t="s">
        <v>1685</v>
      </c>
      <c r="E81" s="209" t="s">
        <v>1836</v>
      </c>
      <c r="F81" s="209" t="s">
        <v>329</v>
      </c>
      <c r="G81" s="222" t="s">
        <v>1595</v>
      </c>
      <c r="H81" s="209" t="s">
        <v>1837</v>
      </c>
      <c r="I81" s="253" t="s">
        <v>1838</v>
      </c>
    </row>
    <row r="82" spans="1:9" ht="18" customHeight="1" x14ac:dyDescent="0.35">
      <c r="A82" s="250">
        <v>81</v>
      </c>
      <c r="B82" s="205" t="s">
        <v>1839</v>
      </c>
      <c r="C82" s="205" t="s">
        <v>1840</v>
      </c>
      <c r="D82" s="232" t="s">
        <v>1685</v>
      </c>
      <c r="E82" s="205" t="s">
        <v>1841</v>
      </c>
      <c r="F82" s="205" t="s">
        <v>1842</v>
      </c>
      <c r="G82" s="232" t="s">
        <v>1595</v>
      </c>
      <c r="H82" s="205" t="s">
        <v>1843</v>
      </c>
      <c r="I82" s="254" t="s">
        <v>1844</v>
      </c>
    </row>
    <row r="83" spans="1:9" ht="18" customHeight="1" x14ac:dyDescent="0.35">
      <c r="A83" s="249">
        <v>82</v>
      </c>
      <c r="B83" s="209" t="s">
        <v>1839</v>
      </c>
      <c r="C83" s="209" t="s">
        <v>1845</v>
      </c>
      <c r="D83" s="234" t="s">
        <v>1685</v>
      </c>
      <c r="E83" s="209" t="s">
        <v>1846</v>
      </c>
      <c r="F83" s="209" t="s">
        <v>1847</v>
      </c>
      <c r="G83" s="222" t="s">
        <v>1595</v>
      </c>
      <c r="H83" s="209" t="s">
        <v>1848</v>
      </c>
      <c r="I83" s="253" t="s">
        <v>1849</v>
      </c>
    </row>
    <row r="84" spans="1:9" ht="18" customHeight="1" x14ac:dyDescent="0.35">
      <c r="A84" s="250">
        <v>83</v>
      </c>
      <c r="B84" s="205" t="s">
        <v>1839</v>
      </c>
      <c r="C84" s="205" t="s">
        <v>1850</v>
      </c>
      <c r="D84" s="232" t="s">
        <v>1685</v>
      </c>
      <c r="E84" s="205" t="s">
        <v>1851</v>
      </c>
      <c r="F84" s="205" t="s">
        <v>1852</v>
      </c>
      <c r="G84" s="232" t="s">
        <v>1595</v>
      </c>
      <c r="H84" s="205" t="s">
        <v>1853</v>
      </c>
      <c r="I84" s="254" t="s">
        <v>1854</v>
      </c>
    </row>
    <row r="85" spans="1:9" ht="18" customHeight="1" x14ac:dyDescent="0.35">
      <c r="A85" s="249">
        <v>84</v>
      </c>
      <c r="B85" s="209" t="s">
        <v>1839</v>
      </c>
      <c r="C85" s="209" t="s">
        <v>1855</v>
      </c>
      <c r="D85" s="234" t="s">
        <v>1685</v>
      </c>
      <c r="E85" s="209" t="s">
        <v>1856</v>
      </c>
      <c r="F85" s="209" t="s">
        <v>1857</v>
      </c>
      <c r="G85" s="222" t="s">
        <v>1595</v>
      </c>
      <c r="H85" s="209" t="s">
        <v>1858</v>
      </c>
      <c r="I85" s="253" t="s">
        <v>1859</v>
      </c>
    </row>
    <row r="86" spans="1:9" ht="18" customHeight="1" x14ac:dyDescent="0.35">
      <c r="A86" s="251">
        <v>85</v>
      </c>
      <c r="B86" s="238" t="s">
        <v>1839</v>
      </c>
      <c r="C86" s="238" t="s">
        <v>1860</v>
      </c>
      <c r="D86" s="239" t="s">
        <v>1685</v>
      </c>
      <c r="E86" s="238" t="s">
        <v>1861</v>
      </c>
      <c r="F86" s="238" t="s">
        <v>329</v>
      </c>
      <c r="G86" s="239" t="s">
        <v>1589</v>
      </c>
      <c r="H86" s="238" t="s">
        <v>1862</v>
      </c>
      <c r="I86" s="255" t="s">
        <v>1863</v>
      </c>
    </row>
  </sheetData>
  <hyperlinks>
    <hyperlink ref="H2" r:id="rId1" tooltip="https://www.bi.go.id/en/statistik/informasi-kurs/jisdor/default.aspx" xr:uid="{0DE2E6AD-6988-44C4-86B0-6FE636F75BBC}"/>
    <hyperlink ref="H3" r:id="rId2" tooltip="https://www.pajak.go.id/" xr:uid="{B96403FA-04B7-482F-99B3-19132F8B8F75}"/>
    <hyperlink ref="H4" r:id="rId3" tooltip="https://www.pajak.go.id/" xr:uid="{DAF4F020-B7A1-4D6D-9CDC-4F407B33292E}"/>
    <hyperlink ref="H5" r:id="rId4" tooltip="https://sunenergy.id/" xr:uid="{8FFD328C-9591-4D33-82AF-C49FDE4BA5ED}"/>
    <hyperlink ref="H6" r:id="rId5" tooltip="https://sunenergy.id/" xr:uid="{AA134EA8-ACAE-4F32-81AF-18BAF08C5392}"/>
    <hyperlink ref="H7" r:id="rId6" tooltip="https://jdih.jakarta.go.id/" xr:uid="{22881A10-943F-4AF8-89C4-B5F54D7BFD24}"/>
    <hyperlink ref="H8" r:id="rId7" tooltip="https://jdih.jabarprov.go.id/" xr:uid="{2FB520DA-88DB-47AE-9C3E-5EE363DB1317}"/>
    <hyperlink ref="H9" r:id="rId8" tooltip="https://jdih.jabarprov.go.id/" xr:uid="{8AB6386D-811D-4F32-890E-36CF56F3231D}"/>
    <hyperlink ref="H10" r:id="rId9" tooltip="https://jdih.jabarprov.go.id/" xr:uid="{14E4EA61-2DF9-4CED-8881-B7175864BE94}"/>
    <hyperlink ref="H12" r:id="rId10" tooltip="https://about.bnef.com/electric-vehicle-outlook/" xr:uid="{5DE9471F-49D1-47B8-825B-3B294416EA87}"/>
    <hyperlink ref="H13" r:id="rId11" tooltip="https://about.bnef.com/electric-vehicle-outlook/" xr:uid="{8C546920-C1CD-4FF0-BE0D-8928A09BB908}"/>
    <hyperlink ref="H14" r:id="rId12" tooltip="https://about.bnef.com/electric-vehicle-outlook/" xr:uid="{D52190B3-91AD-490A-9898-57F0A7FB7622}"/>
    <hyperlink ref="H16" r:id="rId13" tooltip="https://about.bnef.com/electric-vehicle-outlook/" xr:uid="{C964C118-FCB7-4A3B-9F43-1B8DCA4F74A3}"/>
    <hyperlink ref="H17" r:id="rId14" tooltip="https://about.bnef.com/electric-vehicle-outlook/" xr:uid="{069916AA-296A-4C45-9545-4C58B3D6510E}"/>
    <hyperlink ref="H18" r:id="rId15" tooltip="https://about.bnef.com/electric-vehicle-outlook/" xr:uid="{ED2E73C0-FEC9-4D57-96EF-5EB42D52B60B}"/>
    <hyperlink ref="H19" r:id="rId16" tooltip="https://www.hellopower.com/" xr:uid="{2507BA34-E567-4974-9DB9-35B5660ADE53}"/>
    <hyperlink ref="H20" r:id="rId17" tooltip="https://www.hellopower.com/" xr:uid="{14BA1BE8-127A-4AC7-A321-0869333E1AAF}"/>
    <hyperlink ref="H21" r:id="rId18" tooltip="https://www.hellopower.com/" xr:uid="{138CEB53-0163-4D30-9054-791C500B2445}"/>
    <hyperlink ref="H22" r:id="rId19" tooltip="https://www.hellopower.com/" xr:uid="{B8229958-AABB-4023-8D03-7451F58B33C2}"/>
    <hyperlink ref="H23" r:id="rId20" tooltip="https://www.hellopower.com/" xr:uid="{2712DC3A-3DF7-46CC-B039-69C247220C67}"/>
    <hyperlink ref="H24" r:id="rId21" tooltip="https://www.hellopower.com/" xr:uid="{1BDED442-FAA3-4E30-867B-5C5FE352A315}"/>
    <hyperlink ref="H27" r:id="rId22" tooltip="https://www.hellopower.com/" xr:uid="{ACFF8809-13F3-41F5-B52C-493ABC0A02EA}"/>
    <hyperlink ref="H29" r:id="rId23" tooltip="https://www.hellopower.com/" xr:uid="{2B048345-E753-4886-A0E0-8457D1EA017A}"/>
    <hyperlink ref="H30" r:id="rId24" tooltip="https://www.hellopower.com/" xr:uid="{0DC566AF-2379-4CB4-ADD8-958EBB79ABF0}"/>
    <hyperlink ref="H31" r:id="rId25" tooltip="https://www.hellopower.com/" xr:uid="{7A980643-B297-49B2-8304-0DE9440C9BA5}"/>
    <hyperlink ref="H32" r:id="rId26" tooltip="https://www.hellopower.com/" xr:uid="{5D75D1ED-5CD5-4819-ADD9-694BC29907AE}"/>
    <hyperlink ref="H33" r:id="rId27" tooltip="https://www.hellopower.com/" xr:uid="{7FFA78D5-21A8-4FD8-BDBF-3C8F64C2672E}"/>
    <hyperlink ref="H34" r:id="rId28" tooltip="https://www.hellopower.com/" xr:uid="{3BB38B5D-BC1F-4ED5-811E-6A44AD887656}"/>
    <hyperlink ref="H35" r:id="rId29" tooltip="https://www.hellopower.com/" xr:uid="{BBC24760-762C-4DA6-9761-14EA14D74E1D}"/>
    <hyperlink ref="H36" r:id="rId30" tooltip="https://www.hellopower.com/" xr:uid="{B9BCCD05-E780-4DA1-A9E8-77C5170DADA6}"/>
    <hyperlink ref="H37" r:id="rId31" tooltip="https://www.hellopower.com/" xr:uid="{03CFF89F-97C8-41A5-82E4-4F0F0033BE73}"/>
    <hyperlink ref="H38" r:id="rId32" tooltip="https://www.hellopower.com/" xr:uid="{3AA0E30F-4239-444D-9D67-B3265C5E73C4}"/>
    <hyperlink ref="H43" r:id="rId33" tooltip="https://www.hellopower.com/" xr:uid="{30C1C898-D9A2-4C09-AA4F-4086D510E9CD}"/>
    <hyperlink ref="H44" r:id="rId34" tooltip="https://www.hellopower.com/" xr:uid="{9AD12B48-CD35-4A31-8C7A-7BB6D8826FA2}"/>
    <hyperlink ref="H47" r:id="rId35" tooltip="https://instances.vantage.sh/" xr:uid="{1B6F6FA4-2CA1-400E-99C9-4F2AEAC508CC}"/>
    <hyperlink ref="H48" r:id="rId36" tooltip="https://instances.vantage.sh/" xr:uid="{AE50CC45-CA68-491A-96D8-7BB2022E8084}"/>
    <hyperlink ref="H49" r:id="rId37" tooltip="https://instances.vantage.sh/rds/" xr:uid="{1EEE3DE9-C908-4D47-BBBE-587BCB97842E}"/>
    <hyperlink ref="H50" r:id="rId38" tooltip="https://instances.vantage.sh/rds/" xr:uid="{6B47B1D7-A34C-4E35-8FFB-A36611CD0802}"/>
    <hyperlink ref="H51" r:id="rId39" tooltip="https://m2m.telkomsel.com/" xr:uid="{92AFAF8C-2337-407C-9393-EF9BACAC5007}"/>
    <hyperlink ref="H52" r:id="rId40" tooltip="https://tracksolid.id/" xr:uid="{CFB45DFF-4E98-40F2-9117-D2E59241268A}"/>
    <hyperlink ref="H59" r:id="rId41" tooltip="https://about.bnef.com/electric-vehicle-outlook/" xr:uid="{3DDB4199-DAB4-465C-8278-5D3B40C319C2}"/>
    <hyperlink ref="H60" r:id="rId42" tooltip="https://about.bnef.com/electric-vehicle-outlook/" xr:uid="{48ECF1D2-92AF-41A4-863C-CC0632305F9A}"/>
    <hyperlink ref="H61" r:id="rId43" tooltip="https://atb.nrel.gov/electricity/2024/commercial_battery_storage" xr:uid="{5AA5A558-4CC3-4068-A93D-52DA847F6911}"/>
    <hyperlink ref="H62" r:id="rId44" tooltip="https://atb.nrel.gov/electricity/2024/commercial_battery_storage" xr:uid="{027FFCC6-9EE2-423B-A43B-682A0F16073A}"/>
    <hyperlink ref="H63" r:id="rId45" tooltip="https://atb.nrel.gov/electricity/2024/commercial_battery_storage" xr:uid="{F7A9FC33-F6C2-49DF-A832-985A2D5BA5B7}"/>
    <hyperlink ref="H64" r:id="rId46" tooltip="https://atb.nrel.gov/electricity/2024/commercial_battery_storage" xr:uid="{177FC6CC-77EE-4303-A5DD-E5175AD17BC7}"/>
    <hyperlink ref="H65" r:id="rId47" tooltip="https://atb.nrel.gov/electricity/2024/commercial_battery_storage" xr:uid="{CD392A89-A593-4756-B529-5D3A9DDB740D}"/>
    <hyperlink ref="H66" r:id="rId48" tooltip="https://atb.nrel.gov/electricity/2024/commercial_battery_storage" xr:uid="{0C8CDB5F-C8F4-47E6-917B-65F31BD67ED6}"/>
    <hyperlink ref="H67" r:id="rId49" tooltip="https://arxiv.org/" xr:uid="{003463D0-CA6D-4A94-BDB7-BD893BC6729B}"/>
    <hyperlink ref="H71" r:id="rId50" tooltip="https://about.bnef.com/electric-vehicle-outlook/" xr:uid="{7430D61F-038E-4FF1-9D25-D87902B09EC3}"/>
    <hyperlink ref="H77" r:id="rId51" tooltip="https://about.bnef.com/electric-vehicle-outlook/" xr:uid="{5E22A9F3-0AD3-4947-8301-CB5816B983AC}"/>
    <hyperlink ref="H42" r:id="rId52" tooltip="https://sunenergy.id/" xr:uid="{31ABD255-7E96-4239-9A3E-B1DB759B39E2}"/>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6BB1C-DB13-4406-944C-98BFC2F7F8A4}">
  <sheetPr>
    <tabColor rgb="FFE67E22"/>
  </sheetPr>
  <dimension ref="A1:N84"/>
  <sheetViews>
    <sheetView zoomScale="38" workbookViewId="0">
      <pane ySplit="1" topLeftCell="A10" activePane="bottomLeft" state="frozen"/>
      <selection pane="bottomLeft" activeCell="T67" sqref="T67"/>
    </sheetView>
  </sheetViews>
  <sheetFormatPr defaultRowHeight="14.5" x14ac:dyDescent="0.35"/>
  <cols>
    <col min="1" max="1" width="6.453125" customWidth="1"/>
    <col min="2" max="2" width="20" customWidth="1"/>
    <col min="3" max="3" width="25.453125" customWidth="1"/>
    <col min="4" max="5" width="29.1796875" customWidth="1"/>
    <col min="6" max="6" width="58.1796875" customWidth="1"/>
    <col min="7" max="7" width="40" customWidth="1"/>
    <col min="8" max="8" width="36.453125" customWidth="1"/>
    <col min="9" max="9" width="16.453125" customWidth="1"/>
    <col min="10" max="11" width="20" customWidth="1"/>
    <col min="12" max="12" width="32.7265625" customWidth="1"/>
    <col min="13" max="13" width="29.1796875" customWidth="1"/>
    <col min="14" max="14" width="32.7265625" customWidth="1"/>
  </cols>
  <sheetData>
    <row r="1" spans="1:14" ht="15" thickBot="1" x14ac:dyDescent="0.4">
      <c r="A1" s="244" t="s">
        <v>1481</v>
      </c>
      <c r="B1" s="245" t="s">
        <v>1864</v>
      </c>
      <c r="C1" s="245" t="s">
        <v>1865</v>
      </c>
      <c r="D1" s="245" t="s">
        <v>1866</v>
      </c>
      <c r="E1" s="245" t="s">
        <v>1867</v>
      </c>
      <c r="F1" s="245" t="s">
        <v>1868</v>
      </c>
      <c r="G1" s="245" t="s">
        <v>1869</v>
      </c>
      <c r="H1" s="247" t="s">
        <v>1870</v>
      </c>
      <c r="I1" s="287" t="s">
        <v>1871</v>
      </c>
      <c r="J1" s="203" t="s">
        <v>1872</v>
      </c>
      <c r="K1" s="203" t="s">
        <v>1873</v>
      </c>
      <c r="L1" s="202" t="s">
        <v>1874</v>
      </c>
      <c r="M1" s="202" t="s">
        <v>193</v>
      </c>
      <c r="N1" s="204" t="s">
        <v>1875</v>
      </c>
    </row>
    <row r="2" spans="1:14" ht="18" customHeight="1" x14ac:dyDescent="0.35">
      <c r="A2" s="248">
        <v>1</v>
      </c>
      <c r="B2" s="260" t="s">
        <v>1529</v>
      </c>
      <c r="C2" s="240" t="s">
        <v>1876</v>
      </c>
      <c r="D2" s="240" t="s">
        <v>1877</v>
      </c>
      <c r="E2" s="240" t="s">
        <v>1878</v>
      </c>
      <c r="F2" s="271" t="s">
        <v>1879</v>
      </c>
      <c r="G2" s="271" t="s">
        <v>1880</v>
      </c>
      <c r="H2" s="272" t="s">
        <v>1881</v>
      </c>
      <c r="I2" s="288" t="s">
        <v>1882</v>
      </c>
      <c r="J2" s="289">
        <v>3.38</v>
      </c>
      <c r="K2" s="289">
        <f>LEFT(I2,FIND(" ",I2)-1)*J2</f>
        <v>81.12</v>
      </c>
      <c r="L2" s="299" t="s">
        <v>1883</v>
      </c>
      <c r="M2" s="297" t="s">
        <v>1884</v>
      </c>
      <c r="N2" s="302" t="s">
        <v>1509</v>
      </c>
    </row>
    <row r="3" spans="1:14" ht="18" customHeight="1" x14ac:dyDescent="0.35">
      <c r="A3" s="249">
        <v>2</v>
      </c>
      <c r="B3" s="261" t="s">
        <v>1529</v>
      </c>
      <c r="C3" s="209" t="s">
        <v>1876</v>
      </c>
      <c r="D3" s="209" t="s">
        <v>1877</v>
      </c>
      <c r="E3" s="209" t="s">
        <v>1885</v>
      </c>
      <c r="F3" s="256" t="s">
        <v>1886</v>
      </c>
      <c r="G3" s="256" t="s">
        <v>1887</v>
      </c>
      <c r="H3" s="266" t="s">
        <v>1888</v>
      </c>
      <c r="I3" s="291" t="s">
        <v>1889</v>
      </c>
      <c r="J3" s="292">
        <v>0</v>
      </c>
      <c r="K3" s="292">
        <v>0</v>
      </c>
      <c r="L3" s="300" t="s">
        <v>1890</v>
      </c>
      <c r="M3" s="293" t="s">
        <v>329</v>
      </c>
      <c r="N3" s="303" t="s">
        <v>1891</v>
      </c>
    </row>
    <row r="4" spans="1:14" ht="18" customHeight="1" x14ac:dyDescent="0.35">
      <c r="A4" s="250">
        <v>3</v>
      </c>
      <c r="B4" s="261" t="s">
        <v>1529</v>
      </c>
      <c r="C4" s="205" t="s">
        <v>1876</v>
      </c>
      <c r="D4" s="205" t="s">
        <v>1892</v>
      </c>
      <c r="E4" s="205" t="s">
        <v>1893</v>
      </c>
      <c r="F4" s="273" t="s">
        <v>1894</v>
      </c>
      <c r="G4" s="273" t="s">
        <v>1895</v>
      </c>
      <c r="H4" s="274" t="s">
        <v>1888</v>
      </c>
      <c r="I4" s="288" t="s">
        <v>1889</v>
      </c>
      <c r="J4" s="289">
        <v>2.5</v>
      </c>
      <c r="K4" s="289">
        <v>2.5</v>
      </c>
      <c r="L4" s="299" t="s">
        <v>1896</v>
      </c>
      <c r="M4" s="297" t="s">
        <v>1897</v>
      </c>
      <c r="N4" s="302" t="s">
        <v>1509</v>
      </c>
    </row>
    <row r="5" spans="1:14" ht="18" customHeight="1" x14ac:dyDescent="0.35">
      <c r="A5" s="249">
        <v>4</v>
      </c>
      <c r="B5" s="261" t="s">
        <v>1529</v>
      </c>
      <c r="C5" s="209" t="s">
        <v>1876</v>
      </c>
      <c r="D5" s="209" t="s">
        <v>1898</v>
      </c>
      <c r="E5" s="209" t="s">
        <v>1899</v>
      </c>
      <c r="F5" s="256" t="s">
        <v>1900</v>
      </c>
      <c r="G5" s="256" t="s">
        <v>1901</v>
      </c>
      <c r="H5" s="267" t="s">
        <v>1902</v>
      </c>
      <c r="I5" s="291" t="s">
        <v>1889</v>
      </c>
      <c r="J5" s="292">
        <v>0</v>
      </c>
      <c r="K5" s="292">
        <v>0</v>
      </c>
      <c r="L5" s="300" t="s">
        <v>1890</v>
      </c>
      <c r="M5" s="293" t="s">
        <v>329</v>
      </c>
      <c r="N5" s="303" t="s">
        <v>1891</v>
      </c>
    </row>
    <row r="6" spans="1:14" ht="18" customHeight="1" x14ac:dyDescent="0.35">
      <c r="A6" s="250">
        <v>5</v>
      </c>
      <c r="B6" s="261" t="s">
        <v>1529</v>
      </c>
      <c r="C6" s="205" t="s">
        <v>1876</v>
      </c>
      <c r="D6" s="205" t="s">
        <v>1903</v>
      </c>
      <c r="E6" s="205" t="s">
        <v>1904</v>
      </c>
      <c r="F6" s="273" t="s">
        <v>1905</v>
      </c>
      <c r="G6" s="273" t="s">
        <v>1906</v>
      </c>
      <c r="H6" s="274" t="s">
        <v>1888</v>
      </c>
      <c r="I6" s="288" t="s">
        <v>1889</v>
      </c>
      <c r="J6" s="289">
        <v>1.5</v>
      </c>
      <c r="K6" s="289">
        <v>1.5</v>
      </c>
      <c r="L6" s="299" t="s">
        <v>1907</v>
      </c>
      <c r="M6" s="297" t="s">
        <v>1908</v>
      </c>
      <c r="N6" s="302" t="s">
        <v>1509</v>
      </c>
    </row>
    <row r="7" spans="1:14" ht="18" customHeight="1" x14ac:dyDescent="0.35">
      <c r="A7" s="249">
        <v>6</v>
      </c>
      <c r="B7" s="261" t="s">
        <v>1529</v>
      </c>
      <c r="C7" s="209" t="s">
        <v>1876</v>
      </c>
      <c r="D7" s="209" t="s">
        <v>1909</v>
      </c>
      <c r="E7" s="209" t="s">
        <v>1910</v>
      </c>
      <c r="F7" s="256" t="s">
        <v>1911</v>
      </c>
      <c r="G7" s="256" t="s">
        <v>1912</v>
      </c>
      <c r="H7" s="266" t="s">
        <v>1888</v>
      </c>
      <c r="I7" s="291" t="s">
        <v>1889</v>
      </c>
      <c r="J7" s="292">
        <v>3</v>
      </c>
      <c r="K7" s="292">
        <v>3</v>
      </c>
      <c r="L7" s="300" t="s">
        <v>1913</v>
      </c>
      <c r="M7" s="298" t="s">
        <v>1914</v>
      </c>
      <c r="N7" s="304" t="s">
        <v>1509</v>
      </c>
    </row>
    <row r="8" spans="1:14" ht="18" customHeight="1" x14ac:dyDescent="0.35">
      <c r="A8" s="250">
        <v>7</v>
      </c>
      <c r="B8" s="261" t="s">
        <v>1529</v>
      </c>
      <c r="C8" s="205" t="s">
        <v>1915</v>
      </c>
      <c r="D8" s="205" t="s">
        <v>1916</v>
      </c>
      <c r="E8" s="205" t="s">
        <v>1917</v>
      </c>
      <c r="F8" s="273" t="s">
        <v>1918</v>
      </c>
      <c r="G8" s="273" t="s">
        <v>1919</v>
      </c>
      <c r="H8" s="275" t="s">
        <v>1920</v>
      </c>
      <c r="I8" s="288" t="s">
        <v>1921</v>
      </c>
      <c r="J8" s="289">
        <v>18</v>
      </c>
      <c r="K8" s="289">
        <v>18</v>
      </c>
      <c r="L8" s="299" t="s">
        <v>1922</v>
      </c>
      <c r="M8" s="297" t="s">
        <v>1923</v>
      </c>
      <c r="N8" s="302" t="s">
        <v>1509</v>
      </c>
    </row>
    <row r="9" spans="1:14" ht="18" customHeight="1" x14ac:dyDescent="0.35">
      <c r="A9" s="249">
        <v>8</v>
      </c>
      <c r="B9" s="261" t="s">
        <v>1529</v>
      </c>
      <c r="C9" s="209" t="s">
        <v>1915</v>
      </c>
      <c r="D9" s="209" t="s">
        <v>1916</v>
      </c>
      <c r="E9" s="209" t="s">
        <v>1924</v>
      </c>
      <c r="F9" s="256" t="s">
        <v>1925</v>
      </c>
      <c r="G9" s="256" t="s">
        <v>1926</v>
      </c>
      <c r="H9" s="269" t="s">
        <v>1927</v>
      </c>
      <c r="I9" s="291" t="s">
        <v>1889</v>
      </c>
      <c r="J9" s="292">
        <v>1.5</v>
      </c>
      <c r="K9" s="292">
        <v>1.5</v>
      </c>
      <c r="L9" s="300" t="s">
        <v>1928</v>
      </c>
      <c r="M9" s="298" t="s">
        <v>1929</v>
      </c>
      <c r="N9" s="305" t="s">
        <v>1888</v>
      </c>
    </row>
    <row r="10" spans="1:14" ht="18" customHeight="1" x14ac:dyDescent="0.35">
      <c r="A10" s="250">
        <v>9</v>
      </c>
      <c r="B10" s="261" t="s">
        <v>1529</v>
      </c>
      <c r="C10" s="205" t="s">
        <v>1915</v>
      </c>
      <c r="D10" s="205" t="s">
        <v>1916</v>
      </c>
      <c r="E10" s="205" t="s">
        <v>1930</v>
      </c>
      <c r="F10" s="273" t="s">
        <v>1931</v>
      </c>
      <c r="G10" s="273" t="s">
        <v>1932</v>
      </c>
      <c r="H10" s="274" t="s">
        <v>1888</v>
      </c>
      <c r="I10" s="288" t="s">
        <v>1921</v>
      </c>
      <c r="J10" s="289">
        <v>2</v>
      </c>
      <c r="K10" s="289">
        <v>2</v>
      </c>
      <c r="L10" s="299" t="s">
        <v>1933</v>
      </c>
      <c r="M10" s="297" t="s">
        <v>1934</v>
      </c>
      <c r="N10" s="306" t="s">
        <v>1888</v>
      </c>
    </row>
    <row r="11" spans="1:14" ht="18" customHeight="1" x14ac:dyDescent="0.35">
      <c r="A11" s="249">
        <v>10</v>
      </c>
      <c r="B11" s="261" t="s">
        <v>1529</v>
      </c>
      <c r="C11" s="209" t="s">
        <v>1915</v>
      </c>
      <c r="D11" s="209" t="s">
        <v>1916</v>
      </c>
      <c r="E11" s="209" t="s">
        <v>1935</v>
      </c>
      <c r="F11" s="256" t="s">
        <v>1936</v>
      </c>
      <c r="G11" s="256" t="s">
        <v>1937</v>
      </c>
      <c r="H11" s="268" t="s">
        <v>1920</v>
      </c>
      <c r="I11" s="291" t="s">
        <v>1938</v>
      </c>
      <c r="J11" s="292">
        <v>0.3</v>
      </c>
      <c r="K11" s="292">
        <f>LEFT(I11,FIND(" ",I11)-1)*J11</f>
        <v>0.89999999999999991</v>
      </c>
      <c r="L11" s="300" t="s">
        <v>1939</v>
      </c>
      <c r="M11" s="298" t="s">
        <v>1940</v>
      </c>
      <c r="N11" s="304" t="s">
        <v>1509</v>
      </c>
    </row>
    <row r="12" spans="1:14" ht="18" customHeight="1" x14ac:dyDescent="0.35">
      <c r="A12" s="250">
        <v>11</v>
      </c>
      <c r="B12" s="261" t="s">
        <v>1529</v>
      </c>
      <c r="C12" s="205" t="s">
        <v>1915</v>
      </c>
      <c r="D12" s="205" t="s">
        <v>1916</v>
      </c>
      <c r="E12" s="205" t="s">
        <v>1941</v>
      </c>
      <c r="F12" s="273" t="s">
        <v>1942</v>
      </c>
      <c r="G12" s="273" t="s">
        <v>1943</v>
      </c>
      <c r="H12" s="276" t="s">
        <v>1927</v>
      </c>
      <c r="I12" s="288" t="s">
        <v>1889</v>
      </c>
      <c r="J12" s="289">
        <v>0</v>
      </c>
      <c r="K12" s="289">
        <v>0</v>
      </c>
      <c r="L12" s="299" t="s">
        <v>1944</v>
      </c>
      <c r="M12" s="290" t="s">
        <v>329</v>
      </c>
      <c r="N12" s="307" t="s">
        <v>1944</v>
      </c>
    </row>
    <row r="13" spans="1:14" ht="18" customHeight="1" x14ac:dyDescent="0.35">
      <c r="A13" s="249">
        <v>12</v>
      </c>
      <c r="B13" s="261" t="s">
        <v>1529</v>
      </c>
      <c r="C13" s="209" t="s">
        <v>1915</v>
      </c>
      <c r="D13" s="209" t="s">
        <v>1945</v>
      </c>
      <c r="E13" s="209" t="s">
        <v>1946</v>
      </c>
      <c r="F13" s="256" t="s">
        <v>1947</v>
      </c>
      <c r="G13" s="256" t="s">
        <v>1948</v>
      </c>
      <c r="H13" s="269" t="s">
        <v>1927</v>
      </c>
      <c r="I13" s="291" t="s">
        <v>1889</v>
      </c>
      <c r="J13" s="292">
        <v>3</v>
      </c>
      <c r="K13" s="292">
        <v>3</v>
      </c>
      <c r="L13" s="300" t="s">
        <v>1949</v>
      </c>
      <c r="M13" s="298" t="s">
        <v>1950</v>
      </c>
      <c r="N13" s="304" t="s">
        <v>1509</v>
      </c>
    </row>
    <row r="14" spans="1:14" ht="18" customHeight="1" x14ac:dyDescent="0.35">
      <c r="A14" s="250">
        <v>13</v>
      </c>
      <c r="B14" s="261" t="s">
        <v>1529</v>
      </c>
      <c r="C14" s="205" t="s">
        <v>1915</v>
      </c>
      <c r="D14" s="205" t="s">
        <v>1951</v>
      </c>
      <c r="E14" s="205" t="s">
        <v>1952</v>
      </c>
      <c r="F14" s="273" t="s">
        <v>1953</v>
      </c>
      <c r="G14" s="273" t="s">
        <v>1954</v>
      </c>
      <c r="H14" s="275" t="s">
        <v>1920</v>
      </c>
      <c r="I14" s="288" t="s">
        <v>1921</v>
      </c>
      <c r="J14" s="289">
        <v>2</v>
      </c>
      <c r="K14" s="289">
        <v>2</v>
      </c>
      <c r="L14" s="299" t="s">
        <v>1955</v>
      </c>
      <c r="M14" s="297" t="s">
        <v>1956</v>
      </c>
      <c r="N14" s="302" t="s">
        <v>1509</v>
      </c>
    </row>
    <row r="15" spans="1:14" ht="18" customHeight="1" x14ac:dyDescent="0.35">
      <c r="A15" s="249">
        <v>14</v>
      </c>
      <c r="B15" s="261" t="s">
        <v>1529</v>
      </c>
      <c r="C15" s="209" t="s">
        <v>1915</v>
      </c>
      <c r="D15" s="209" t="s">
        <v>1957</v>
      </c>
      <c r="E15" s="209" t="s">
        <v>1958</v>
      </c>
      <c r="F15" s="256" t="s">
        <v>1959</v>
      </c>
      <c r="G15" s="256" t="s">
        <v>1960</v>
      </c>
      <c r="H15" s="268" t="s">
        <v>1920</v>
      </c>
      <c r="I15" s="291" t="s">
        <v>1889</v>
      </c>
      <c r="J15" s="292">
        <v>1.5</v>
      </c>
      <c r="K15" s="292">
        <v>1.5</v>
      </c>
      <c r="L15" s="300" t="s">
        <v>1961</v>
      </c>
      <c r="M15" s="298" t="s">
        <v>1962</v>
      </c>
      <c r="N15" s="304" t="s">
        <v>1509</v>
      </c>
    </row>
    <row r="16" spans="1:14" ht="18" customHeight="1" x14ac:dyDescent="0.35">
      <c r="A16" s="250">
        <v>15</v>
      </c>
      <c r="B16" s="261" t="s">
        <v>1529</v>
      </c>
      <c r="C16" s="205" t="s">
        <v>1963</v>
      </c>
      <c r="D16" s="205" t="s">
        <v>1964</v>
      </c>
      <c r="E16" s="205" t="s">
        <v>1965</v>
      </c>
      <c r="F16" s="273" t="s">
        <v>1966</v>
      </c>
      <c r="G16" s="273" t="s">
        <v>1967</v>
      </c>
      <c r="H16" s="275" t="s">
        <v>1920</v>
      </c>
      <c r="I16" s="288" t="s">
        <v>1921</v>
      </c>
      <c r="J16" s="289">
        <v>5</v>
      </c>
      <c r="K16" s="289">
        <v>5</v>
      </c>
      <c r="L16" s="299" t="s">
        <v>1968</v>
      </c>
      <c r="M16" s="297" t="s">
        <v>1969</v>
      </c>
      <c r="N16" s="302" t="s">
        <v>1509</v>
      </c>
    </row>
    <row r="17" spans="1:14" ht="18" customHeight="1" x14ac:dyDescent="0.35">
      <c r="A17" s="249">
        <v>16</v>
      </c>
      <c r="B17" s="261" t="s">
        <v>1529</v>
      </c>
      <c r="C17" s="209" t="s">
        <v>1963</v>
      </c>
      <c r="D17" s="209" t="s">
        <v>1970</v>
      </c>
      <c r="E17" s="209" t="s">
        <v>1971</v>
      </c>
      <c r="F17" s="256" t="s">
        <v>1972</v>
      </c>
      <c r="G17" s="256" t="s">
        <v>1973</v>
      </c>
      <c r="H17" s="266" t="s">
        <v>1888</v>
      </c>
      <c r="I17" s="291" t="s">
        <v>1921</v>
      </c>
      <c r="J17" s="292">
        <v>3</v>
      </c>
      <c r="K17" s="292">
        <v>3</v>
      </c>
      <c r="L17" s="300" t="s">
        <v>1974</v>
      </c>
      <c r="M17" s="298" t="s">
        <v>1975</v>
      </c>
      <c r="N17" s="305" t="s">
        <v>1888</v>
      </c>
    </row>
    <row r="18" spans="1:14" ht="18" customHeight="1" x14ac:dyDescent="0.35">
      <c r="A18" s="250">
        <v>17</v>
      </c>
      <c r="B18" s="261" t="s">
        <v>1529</v>
      </c>
      <c r="C18" s="205" t="s">
        <v>1963</v>
      </c>
      <c r="D18" s="205" t="s">
        <v>1976</v>
      </c>
      <c r="E18" s="205" t="s">
        <v>1977</v>
      </c>
      <c r="F18" s="273" t="s">
        <v>1978</v>
      </c>
      <c r="G18" s="273" t="s">
        <v>1979</v>
      </c>
      <c r="H18" s="274" t="s">
        <v>1888</v>
      </c>
      <c r="I18" s="288" t="s">
        <v>1889</v>
      </c>
      <c r="J18" s="289">
        <v>1.5</v>
      </c>
      <c r="K18" s="289">
        <v>1.5</v>
      </c>
      <c r="L18" s="299" t="s">
        <v>1980</v>
      </c>
      <c r="M18" s="297" t="s">
        <v>1981</v>
      </c>
      <c r="N18" s="306" t="s">
        <v>1888</v>
      </c>
    </row>
    <row r="19" spans="1:14" ht="18" customHeight="1" x14ac:dyDescent="0.35">
      <c r="A19" s="249">
        <v>18</v>
      </c>
      <c r="B19" s="261" t="s">
        <v>1529</v>
      </c>
      <c r="C19" s="209" t="s">
        <v>1982</v>
      </c>
      <c r="D19" s="209" t="s">
        <v>1983</v>
      </c>
      <c r="E19" s="209" t="s">
        <v>1984</v>
      </c>
      <c r="F19" s="256" t="s">
        <v>1985</v>
      </c>
      <c r="G19" s="256" t="s">
        <v>1986</v>
      </c>
      <c r="H19" s="268" t="s">
        <v>1920</v>
      </c>
      <c r="I19" s="291" t="s">
        <v>1889</v>
      </c>
      <c r="J19" s="292">
        <v>12</v>
      </c>
      <c r="K19" s="292">
        <v>12</v>
      </c>
      <c r="L19" s="300" t="s">
        <v>1987</v>
      </c>
      <c r="M19" s="298" t="s">
        <v>1988</v>
      </c>
      <c r="N19" s="304" t="s">
        <v>1509</v>
      </c>
    </row>
    <row r="20" spans="1:14" ht="18" customHeight="1" x14ac:dyDescent="0.35">
      <c r="A20" s="250">
        <v>19</v>
      </c>
      <c r="B20" s="261" t="s">
        <v>1529</v>
      </c>
      <c r="C20" s="205" t="s">
        <v>1982</v>
      </c>
      <c r="D20" s="205" t="s">
        <v>1989</v>
      </c>
      <c r="E20" s="205" t="s">
        <v>1990</v>
      </c>
      <c r="F20" s="273" t="s">
        <v>1991</v>
      </c>
      <c r="G20" s="273" t="s">
        <v>1992</v>
      </c>
      <c r="H20" s="277" t="s">
        <v>1993</v>
      </c>
      <c r="I20" s="288" t="s">
        <v>1889</v>
      </c>
      <c r="J20" s="289">
        <v>2</v>
      </c>
      <c r="K20" s="289">
        <v>2</v>
      </c>
      <c r="L20" s="299" t="s">
        <v>1994</v>
      </c>
      <c r="M20" s="297" t="s">
        <v>1995</v>
      </c>
      <c r="N20" s="302" t="s">
        <v>1509</v>
      </c>
    </row>
    <row r="21" spans="1:14" ht="18" customHeight="1" x14ac:dyDescent="0.35">
      <c r="A21" s="249">
        <v>20</v>
      </c>
      <c r="B21" s="261" t="s">
        <v>1529</v>
      </c>
      <c r="C21" s="209" t="s">
        <v>1982</v>
      </c>
      <c r="D21" s="209" t="s">
        <v>1996</v>
      </c>
      <c r="E21" s="209" t="s">
        <v>1997</v>
      </c>
      <c r="F21" s="256" t="s">
        <v>1998</v>
      </c>
      <c r="G21" s="256" t="s">
        <v>1999</v>
      </c>
      <c r="H21" s="268" t="s">
        <v>1920</v>
      </c>
      <c r="I21" s="291" t="s">
        <v>1921</v>
      </c>
      <c r="J21" s="292">
        <v>1.5</v>
      </c>
      <c r="K21" s="292">
        <v>1.5</v>
      </c>
      <c r="L21" s="300" t="s">
        <v>2000</v>
      </c>
      <c r="M21" s="298" t="s">
        <v>2001</v>
      </c>
      <c r="N21" s="305" t="s">
        <v>1888</v>
      </c>
    </row>
    <row r="22" spans="1:14" ht="18" customHeight="1" x14ac:dyDescent="0.35">
      <c r="A22" s="250">
        <v>21</v>
      </c>
      <c r="B22" s="261" t="s">
        <v>1529</v>
      </c>
      <c r="C22" s="205" t="s">
        <v>1982</v>
      </c>
      <c r="D22" s="205" t="s">
        <v>2002</v>
      </c>
      <c r="E22" s="205" t="s">
        <v>2003</v>
      </c>
      <c r="F22" s="273" t="s">
        <v>2004</v>
      </c>
      <c r="G22" s="273" t="s">
        <v>2005</v>
      </c>
      <c r="H22" s="275" t="s">
        <v>1920</v>
      </c>
      <c r="I22" s="288" t="s">
        <v>1889</v>
      </c>
      <c r="J22" s="289">
        <v>2</v>
      </c>
      <c r="K22" s="289">
        <v>2</v>
      </c>
      <c r="L22" s="299" t="s">
        <v>2006</v>
      </c>
      <c r="M22" s="297" t="s">
        <v>2007</v>
      </c>
      <c r="N22" s="302" t="s">
        <v>1509</v>
      </c>
    </row>
    <row r="23" spans="1:14" ht="18" customHeight="1" x14ac:dyDescent="0.35">
      <c r="A23" s="249">
        <v>22</v>
      </c>
      <c r="B23" s="261" t="s">
        <v>1529</v>
      </c>
      <c r="C23" s="209" t="s">
        <v>1982</v>
      </c>
      <c r="D23" s="209" t="s">
        <v>2008</v>
      </c>
      <c r="E23" s="209" t="s">
        <v>2009</v>
      </c>
      <c r="F23" s="256" t="s">
        <v>2010</v>
      </c>
      <c r="G23" s="256" t="s">
        <v>2011</v>
      </c>
      <c r="H23" s="266" t="s">
        <v>1888</v>
      </c>
      <c r="I23" s="291" t="s">
        <v>1889</v>
      </c>
      <c r="J23" s="292">
        <v>1</v>
      </c>
      <c r="K23" s="292">
        <v>1</v>
      </c>
      <c r="L23" s="300" t="s">
        <v>2012</v>
      </c>
      <c r="M23" s="298" t="s">
        <v>2013</v>
      </c>
      <c r="N23" s="305" t="s">
        <v>1888</v>
      </c>
    </row>
    <row r="24" spans="1:14" ht="18" customHeight="1" x14ac:dyDescent="0.35">
      <c r="A24" s="250">
        <v>23</v>
      </c>
      <c r="B24" s="261" t="s">
        <v>1529</v>
      </c>
      <c r="C24" s="205" t="s">
        <v>2014</v>
      </c>
      <c r="D24" s="205" t="s">
        <v>2015</v>
      </c>
      <c r="E24" s="205" t="s">
        <v>2016</v>
      </c>
      <c r="F24" s="273" t="s">
        <v>2017</v>
      </c>
      <c r="G24" s="273" t="s">
        <v>2018</v>
      </c>
      <c r="H24" s="274" t="s">
        <v>1888</v>
      </c>
      <c r="I24" s="288" t="s">
        <v>1889</v>
      </c>
      <c r="J24" s="289">
        <v>1.5</v>
      </c>
      <c r="K24" s="289">
        <v>1.5</v>
      </c>
      <c r="L24" s="299" t="s">
        <v>2019</v>
      </c>
      <c r="M24" s="297" t="s">
        <v>2020</v>
      </c>
      <c r="N24" s="306" t="s">
        <v>1888</v>
      </c>
    </row>
    <row r="25" spans="1:14" ht="18" customHeight="1" x14ac:dyDescent="0.35">
      <c r="A25" s="249">
        <v>24</v>
      </c>
      <c r="B25" s="261" t="s">
        <v>1529</v>
      </c>
      <c r="C25" s="209" t="s">
        <v>2014</v>
      </c>
      <c r="D25" s="209" t="s">
        <v>2021</v>
      </c>
      <c r="E25" s="209" t="s">
        <v>2022</v>
      </c>
      <c r="F25" s="256" t="s">
        <v>2023</v>
      </c>
      <c r="G25" s="256" t="s">
        <v>2024</v>
      </c>
      <c r="H25" s="266" t="s">
        <v>1888</v>
      </c>
      <c r="I25" s="291" t="s">
        <v>1889</v>
      </c>
      <c r="J25" s="292">
        <v>2</v>
      </c>
      <c r="K25" s="292">
        <v>2</v>
      </c>
      <c r="L25" s="300" t="s">
        <v>2025</v>
      </c>
      <c r="M25" s="298" t="s">
        <v>2026</v>
      </c>
      <c r="N25" s="305" t="s">
        <v>1888</v>
      </c>
    </row>
    <row r="26" spans="1:14" ht="18" customHeight="1" x14ac:dyDescent="0.35">
      <c r="A26" s="250">
        <v>25</v>
      </c>
      <c r="B26" s="261" t="s">
        <v>1529</v>
      </c>
      <c r="C26" s="205" t="s">
        <v>2027</v>
      </c>
      <c r="D26" s="205" t="s">
        <v>2028</v>
      </c>
      <c r="E26" s="205" t="s">
        <v>2029</v>
      </c>
      <c r="F26" s="273" t="s">
        <v>2030</v>
      </c>
      <c r="G26" s="273" t="s">
        <v>2031</v>
      </c>
      <c r="H26" s="275" t="s">
        <v>1920</v>
      </c>
      <c r="I26" s="288" t="s">
        <v>1889</v>
      </c>
      <c r="J26" s="289">
        <v>5</v>
      </c>
      <c r="K26" s="289">
        <v>5</v>
      </c>
      <c r="L26" s="299" t="s">
        <v>2032</v>
      </c>
      <c r="M26" s="290" t="s">
        <v>329</v>
      </c>
      <c r="N26" s="307" t="s">
        <v>2033</v>
      </c>
    </row>
    <row r="27" spans="1:14" ht="18" customHeight="1" x14ac:dyDescent="0.35">
      <c r="A27" s="249">
        <v>26</v>
      </c>
      <c r="B27" s="261" t="s">
        <v>1529</v>
      </c>
      <c r="C27" s="209" t="s">
        <v>2034</v>
      </c>
      <c r="D27" s="209" t="s">
        <v>2035</v>
      </c>
      <c r="E27" s="209" t="s">
        <v>2036</v>
      </c>
      <c r="F27" s="256" t="s">
        <v>2037</v>
      </c>
      <c r="G27" s="256" t="s">
        <v>2038</v>
      </c>
      <c r="H27" s="266" t="s">
        <v>1888</v>
      </c>
      <c r="I27" s="291" t="s">
        <v>1889</v>
      </c>
      <c r="J27" s="292">
        <v>2</v>
      </c>
      <c r="K27" s="292">
        <v>2</v>
      </c>
      <c r="L27" s="300" t="s">
        <v>2039</v>
      </c>
      <c r="M27" s="298" t="s">
        <v>2040</v>
      </c>
      <c r="N27" s="305" t="s">
        <v>1888</v>
      </c>
    </row>
    <row r="28" spans="1:14" ht="18" customHeight="1" x14ac:dyDescent="0.35">
      <c r="A28" s="250">
        <v>52</v>
      </c>
      <c r="B28" s="262" t="s">
        <v>878</v>
      </c>
      <c r="C28" s="205" t="s">
        <v>2041</v>
      </c>
      <c r="D28" s="205" t="s">
        <v>2042</v>
      </c>
      <c r="E28" s="205" t="s">
        <v>2043</v>
      </c>
      <c r="F28" s="273" t="s">
        <v>2044</v>
      </c>
      <c r="G28" s="273" t="s">
        <v>2045</v>
      </c>
      <c r="H28" s="275" t="s">
        <v>1920</v>
      </c>
      <c r="I28" s="288" t="s">
        <v>2046</v>
      </c>
      <c r="J28" s="289">
        <v>0</v>
      </c>
      <c r="K28" s="289">
        <v>0</v>
      </c>
      <c r="L28" s="299" t="s">
        <v>2047</v>
      </c>
      <c r="M28" s="290" t="s">
        <v>329</v>
      </c>
      <c r="N28" s="307" t="s">
        <v>1944</v>
      </c>
    </row>
    <row r="29" spans="1:14" ht="18" customHeight="1" x14ac:dyDescent="0.35">
      <c r="A29" s="249">
        <v>53</v>
      </c>
      <c r="B29" s="262" t="s">
        <v>878</v>
      </c>
      <c r="C29" s="209" t="s">
        <v>2041</v>
      </c>
      <c r="D29" s="209" t="s">
        <v>2048</v>
      </c>
      <c r="E29" s="209" t="s">
        <v>2049</v>
      </c>
      <c r="F29" s="256" t="s">
        <v>2050</v>
      </c>
      <c r="G29" s="256" t="s">
        <v>2051</v>
      </c>
      <c r="H29" s="268" t="s">
        <v>1920</v>
      </c>
      <c r="I29" s="291" t="s">
        <v>2046</v>
      </c>
      <c r="J29" s="292">
        <v>0</v>
      </c>
      <c r="K29" s="292">
        <v>0</v>
      </c>
      <c r="L29" s="300" t="s">
        <v>2052</v>
      </c>
      <c r="M29" s="293" t="s">
        <v>329</v>
      </c>
      <c r="N29" s="303" t="s">
        <v>2053</v>
      </c>
    </row>
    <row r="30" spans="1:14" ht="18" customHeight="1" x14ac:dyDescent="0.35">
      <c r="A30" s="250">
        <v>54</v>
      </c>
      <c r="B30" s="262" t="s">
        <v>878</v>
      </c>
      <c r="C30" s="205" t="s">
        <v>2041</v>
      </c>
      <c r="D30" s="205" t="s">
        <v>2054</v>
      </c>
      <c r="E30" s="205" t="s">
        <v>2055</v>
      </c>
      <c r="F30" s="273" t="s">
        <v>2056</v>
      </c>
      <c r="G30" s="273" t="s">
        <v>2057</v>
      </c>
      <c r="H30" s="274" t="s">
        <v>1888</v>
      </c>
      <c r="I30" s="288" t="s">
        <v>2058</v>
      </c>
      <c r="J30" s="289">
        <v>0</v>
      </c>
      <c r="K30" s="289">
        <v>0</v>
      </c>
      <c r="L30" s="299" t="s">
        <v>2059</v>
      </c>
      <c r="M30" s="290" t="s">
        <v>329</v>
      </c>
      <c r="N30" s="306" t="s">
        <v>1888</v>
      </c>
    </row>
    <row r="31" spans="1:14" ht="18" customHeight="1" x14ac:dyDescent="0.35">
      <c r="A31" s="249">
        <v>55</v>
      </c>
      <c r="B31" s="262" t="s">
        <v>878</v>
      </c>
      <c r="C31" s="209" t="s">
        <v>2060</v>
      </c>
      <c r="D31" s="209" t="s">
        <v>2061</v>
      </c>
      <c r="E31" s="209" t="s">
        <v>2062</v>
      </c>
      <c r="F31" s="256" t="s">
        <v>2063</v>
      </c>
      <c r="G31" s="256" t="s">
        <v>2064</v>
      </c>
      <c r="H31" s="268" t="s">
        <v>1920</v>
      </c>
      <c r="I31" s="291" t="s">
        <v>1921</v>
      </c>
      <c r="J31" s="292">
        <v>8</v>
      </c>
      <c r="K31" s="292">
        <v>8</v>
      </c>
      <c r="L31" s="300" t="s">
        <v>2065</v>
      </c>
      <c r="M31" s="298" t="s">
        <v>2066</v>
      </c>
      <c r="N31" s="304" t="s">
        <v>1509</v>
      </c>
    </row>
    <row r="32" spans="1:14" ht="18" customHeight="1" x14ac:dyDescent="0.35">
      <c r="A32" s="250">
        <v>56</v>
      </c>
      <c r="B32" s="262" t="s">
        <v>878</v>
      </c>
      <c r="C32" s="205" t="s">
        <v>2060</v>
      </c>
      <c r="D32" s="205" t="s">
        <v>2067</v>
      </c>
      <c r="E32" s="205" t="s">
        <v>2068</v>
      </c>
      <c r="F32" s="273" t="s">
        <v>2069</v>
      </c>
      <c r="G32" s="273" t="s">
        <v>2070</v>
      </c>
      <c r="H32" s="275" t="s">
        <v>1920</v>
      </c>
      <c r="I32" s="288" t="s">
        <v>1921</v>
      </c>
      <c r="J32" s="289">
        <v>45</v>
      </c>
      <c r="K32" s="289">
        <v>45</v>
      </c>
      <c r="L32" s="299" t="s">
        <v>2071</v>
      </c>
      <c r="M32" s="297" t="s">
        <v>2072</v>
      </c>
      <c r="N32" s="302" t="s">
        <v>1509</v>
      </c>
    </row>
    <row r="33" spans="1:14" ht="18" customHeight="1" x14ac:dyDescent="0.35">
      <c r="A33" s="249">
        <v>57</v>
      </c>
      <c r="B33" s="262" t="s">
        <v>878</v>
      </c>
      <c r="C33" s="209" t="s">
        <v>2060</v>
      </c>
      <c r="D33" s="209" t="s">
        <v>2073</v>
      </c>
      <c r="E33" s="209" t="s">
        <v>2074</v>
      </c>
      <c r="F33" s="256" t="s">
        <v>2075</v>
      </c>
      <c r="G33" s="256" t="s">
        <v>2076</v>
      </c>
      <c r="H33" s="266" t="s">
        <v>1888</v>
      </c>
      <c r="I33" s="291" t="s">
        <v>1889</v>
      </c>
      <c r="J33" s="292">
        <v>0</v>
      </c>
      <c r="K33" s="292">
        <v>0</v>
      </c>
      <c r="L33" s="300" t="s">
        <v>2077</v>
      </c>
      <c r="M33" s="293" t="s">
        <v>329</v>
      </c>
      <c r="N33" s="303" t="s">
        <v>2078</v>
      </c>
    </row>
    <row r="34" spans="1:14" ht="18" customHeight="1" x14ac:dyDescent="0.35">
      <c r="A34" s="250">
        <v>58</v>
      </c>
      <c r="B34" s="262" t="s">
        <v>878</v>
      </c>
      <c r="C34" s="205" t="s">
        <v>2079</v>
      </c>
      <c r="D34" s="205" t="s">
        <v>2080</v>
      </c>
      <c r="E34" s="205" t="s">
        <v>2081</v>
      </c>
      <c r="F34" s="273" t="s">
        <v>2082</v>
      </c>
      <c r="G34" s="273" t="s">
        <v>2083</v>
      </c>
      <c r="H34" s="275" t="s">
        <v>1920</v>
      </c>
      <c r="I34" s="288" t="s">
        <v>1921</v>
      </c>
      <c r="J34" s="289">
        <v>3</v>
      </c>
      <c r="K34" s="289">
        <v>3</v>
      </c>
      <c r="L34" s="299" t="s">
        <v>2084</v>
      </c>
      <c r="M34" s="297" t="s">
        <v>2085</v>
      </c>
      <c r="N34" s="302" t="s">
        <v>1509</v>
      </c>
    </row>
    <row r="35" spans="1:14" ht="18" customHeight="1" x14ac:dyDescent="0.35">
      <c r="A35" s="249">
        <v>59</v>
      </c>
      <c r="B35" s="262" t="s">
        <v>878</v>
      </c>
      <c r="C35" s="209" t="s">
        <v>2079</v>
      </c>
      <c r="D35" s="209" t="s">
        <v>2086</v>
      </c>
      <c r="E35" s="209" t="s">
        <v>2087</v>
      </c>
      <c r="F35" s="256" t="s">
        <v>2088</v>
      </c>
      <c r="G35" s="256" t="s">
        <v>2089</v>
      </c>
      <c r="H35" s="268" t="s">
        <v>1920</v>
      </c>
      <c r="I35" s="291" t="s">
        <v>2090</v>
      </c>
      <c r="J35" s="292">
        <v>0</v>
      </c>
      <c r="K35" s="292">
        <v>0</v>
      </c>
      <c r="L35" s="300" t="s">
        <v>2091</v>
      </c>
      <c r="M35" s="293" t="s">
        <v>2092</v>
      </c>
      <c r="N35" s="303" t="s">
        <v>2093</v>
      </c>
    </row>
    <row r="36" spans="1:14" ht="18" customHeight="1" x14ac:dyDescent="0.35">
      <c r="A36" s="250">
        <v>60</v>
      </c>
      <c r="B36" s="262" t="s">
        <v>878</v>
      </c>
      <c r="C36" s="205" t="s">
        <v>2079</v>
      </c>
      <c r="D36" s="205" t="s">
        <v>2094</v>
      </c>
      <c r="E36" s="205" t="s">
        <v>2095</v>
      </c>
      <c r="F36" s="273" t="s">
        <v>2096</v>
      </c>
      <c r="G36" s="273" t="s">
        <v>2097</v>
      </c>
      <c r="H36" s="275" t="s">
        <v>1920</v>
      </c>
      <c r="I36" s="288" t="s">
        <v>1921</v>
      </c>
      <c r="J36" s="289">
        <v>5</v>
      </c>
      <c r="K36" s="289">
        <v>5</v>
      </c>
      <c r="L36" s="299" t="s">
        <v>2098</v>
      </c>
      <c r="M36" s="297" t="s">
        <v>2099</v>
      </c>
      <c r="N36" s="302" t="s">
        <v>1494</v>
      </c>
    </row>
    <row r="37" spans="1:14" ht="18" customHeight="1" x14ac:dyDescent="0.35">
      <c r="A37" s="249">
        <v>61</v>
      </c>
      <c r="B37" s="262" t="s">
        <v>878</v>
      </c>
      <c r="C37" s="209" t="s">
        <v>2100</v>
      </c>
      <c r="D37" s="209" t="s">
        <v>2101</v>
      </c>
      <c r="E37" s="209" t="s">
        <v>2102</v>
      </c>
      <c r="F37" s="256" t="s">
        <v>2103</v>
      </c>
      <c r="G37" s="256" t="s">
        <v>2104</v>
      </c>
      <c r="H37" s="268" t="s">
        <v>1920</v>
      </c>
      <c r="I37" s="291" t="s">
        <v>2046</v>
      </c>
      <c r="J37" s="292">
        <v>30</v>
      </c>
      <c r="K37" s="292">
        <v>30</v>
      </c>
      <c r="L37" s="300" t="s">
        <v>2105</v>
      </c>
      <c r="M37" s="298" t="s">
        <v>2106</v>
      </c>
      <c r="N37" s="304" t="s">
        <v>1509</v>
      </c>
    </row>
    <row r="38" spans="1:14" ht="18" customHeight="1" x14ac:dyDescent="0.35">
      <c r="A38" s="250">
        <v>62</v>
      </c>
      <c r="B38" s="262" t="s">
        <v>878</v>
      </c>
      <c r="C38" s="205" t="s">
        <v>2100</v>
      </c>
      <c r="D38" s="205" t="s">
        <v>2107</v>
      </c>
      <c r="E38" s="205" t="s">
        <v>2108</v>
      </c>
      <c r="F38" s="273" t="s">
        <v>2109</v>
      </c>
      <c r="G38" s="273" t="s">
        <v>2110</v>
      </c>
      <c r="H38" s="275" t="s">
        <v>1920</v>
      </c>
      <c r="I38" s="288" t="s">
        <v>2046</v>
      </c>
      <c r="J38" s="289">
        <v>15</v>
      </c>
      <c r="K38" s="289">
        <v>15</v>
      </c>
      <c r="L38" s="299" t="s">
        <v>2111</v>
      </c>
      <c r="M38" s="297" t="s">
        <v>2112</v>
      </c>
      <c r="N38" s="302" t="s">
        <v>1509</v>
      </c>
    </row>
    <row r="39" spans="1:14" ht="18" customHeight="1" x14ac:dyDescent="0.35">
      <c r="A39" s="249">
        <v>63</v>
      </c>
      <c r="B39" s="262" t="s">
        <v>878</v>
      </c>
      <c r="C39" s="209" t="s">
        <v>2100</v>
      </c>
      <c r="D39" s="209" t="s">
        <v>2113</v>
      </c>
      <c r="E39" s="209" t="s">
        <v>2114</v>
      </c>
      <c r="F39" s="256" t="s">
        <v>2115</v>
      </c>
      <c r="G39" s="256" t="s">
        <v>2116</v>
      </c>
      <c r="H39" s="268" t="s">
        <v>1920</v>
      </c>
      <c r="I39" s="291" t="s">
        <v>2117</v>
      </c>
      <c r="J39" s="292">
        <v>0</v>
      </c>
      <c r="K39" s="292">
        <v>0</v>
      </c>
      <c r="L39" s="300" t="s">
        <v>2077</v>
      </c>
      <c r="M39" s="293" t="s">
        <v>329</v>
      </c>
      <c r="N39" s="303" t="s">
        <v>2118</v>
      </c>
    </row>
    <row r="40" spans="1:14" ht="18" customHeight="1" x14ac:dyDescent="0.35">
      <c r="A40" s="250">
        <v>64</v>
      </c>
      <c r="B40" s="262" t="s">
        <v>878</v>
      </c>
      <c r="C40" s="205" t="s">
        <v>2100</v>
      </c>
      <c r="D40" s="205" t="s">
        <v>2119</v>
      </c>
      <c r="E40" s="205" t="s">
        <v>2120</v>
      </c>
      <c r="F40" s="273" t="s">
        <v>2121</v>
      </c>
      <c r="G40" s="273" t="s">
        <v>2122</v>
      </c>
      <c r="H40" s="275" t="s">
        <v>1920</v>
      </c>
      <c r="I40" s="288" t="s">
        <v>2123</v>
      </c>
      <c r="J40" s="289">
        <v>0</v>
      </c>
      <c r="K40" s="289">
        <v>0</v>
      </c>
      <c r="L40" s="299" t="s">
        <v>2077</v>
      </c>
      <c r="M40" s="290" t="s">
        <v>329</v>
      </c>
      <c r="N40" s="307" t="s">
        <v>2118</v>
      </c>
    </row>
    <row r="41" spans="1:14" ht="18" customHeight="1" x14ac:dyDescent="0.35">
      <c r="A41" s="249">
        <v>65</v>
      </c>
      <c r="B41" s="262" t="s">
        <v>878</v>
      </c>
      <c r="C41" s="209" t="s">
        <v>2100</v>
      </c>
      <c r="D41" s="209" t="s">
        <v>2124</v>
      </c>
      <c r="E41" s="209" t="s">
        <v>2125</v>
      </c>
      <c r="F41" s="256" t="s">
        <v>2126</v>
      </c>
      <c r="G41" s="256" t="s">
        <v>2127</v>
      </c>
      <c r="H41" s="267" t="s">
        <v>1993</v>
      </c>
      <c r="I41" s="291" t="s">
        <v>2123</v>
      </c>
      <c r="J41" s="292">
        <v>0</v>
      </c>
      <c r="K41" s="292">
        <v>0</v>
      </c>
      <c r="L41" s="300" t="s">
        <v>2128</v>
      </c>
      <c r="M41" s="293" t="s">
        <v>329</v>
      </c>
      <c r="N41" s="308" t="s">
        <v>2129</v>
      </c>
    </row>
    <row r="42" spans="1:14" ht="18" customHeight="1" x14ac:dyDescent="0.35">
      <c r="A42" s="250">
        <v>66</v>
      </c>
      <c r="B42" s="262" t="s">
        <v>878</v>
      </c>
      <c r="C42" s="205" t="s">
        <v>2130</v>
      </c>
      <c r="D42" s="205" t="s">
        <v>2131</v>
      </c>
      <c r="E42" s="205" t="s">
        <v>2132</v>
      </c>
      <c r="F42" s="273" t="s">
        <v>2133</v>
      </c>
      <c r="G42" s="273" t="s">
        <v>2134</v>
      </c>
      <c r="H42" s="275" t="s">
        <v>1920</v>
      </c>
      <c r="I42" s="288" t="s">
        <v>2135</v>
      </c>
      <c r="J42" s="289">
        <v>0</v>
      </c>
      <c r="K42" s="289">
        <v>0</v>
      </c>
      <c r="L42" s="299" t="s">
        <v>2077</v>
      </c>
      <c r="M42" s="290" t="s">
        <v>329</v>
      </c>
      <c r="N42" s="307" t="s">
        <v>2136</v>
      </c>
    </row>
    <row r="43" spans="1:14" ht="18" customHeight="1" x14ac:dyDescent="0.35">
      <c r="A43" s="249">
        <v>67</v>
      </c>
      <c r="B43" s="262" t="s">
        <v>878</v>
      </c>
      <c r="C43" s="209" t="s">
        <v>2130</v>
      </c>
      <c r="D43" s="209" t="s">
        <v>2137</v>
      </c>
      <c r="E43" s="209" t="s">
        <v>2138</v>
      </c>
      <c r="F43" s="256" t="s">
        <v>2139</v>
      </c>
      <c r="G43" s="256" t="s">
        <v>2140</v>
      </c>
      <c r="H43" s="268" t="s">
        <v>1920</v>
      </c>
      <c r="I43" s="291" t="s">
        <v>2135</v>
      </c>
      <c r="J43" s="292">
        <v>0</v>
      </c>
      <c r="K43" s="292">
        <v>0</v>
      </c>
      <c r="L43" s="300" t="s">
        <v>2077</v>
      </c>
      <c r="M43" s="293" t="s">
        <v>329</v>
      </c>
      <c r="N43" s="303" t="s">
        <v>2118</v>
      </c>
    </row>
    <row r="44" spans="1:14" ht="18" customHeight="1" x14ac:dyDescent="0.35">
      <c r="A44" s="250">
        <v>68</v>
      </c>
      <c r="B44" s="262" t="s">
        <v>878</v>
      </c>
      <c r="C44" s="205" t="s">
        <v>2130</v>
      </c>
      <c r="D44" s="205" t="s">
        <v>2141</v>
      </c>
      <c r="E44" s="205" t="s">
        <v>2142</v>
      </c>
      <c r="F44" s="273" t="s">
        <v>2143</v>
      </c>
      <c r="G44" s="273" t="s">
        <v>2144</v>
      </c>
      <c r="H44" s="275" t="s">
        <v>1920</v>
      </c>
      <c r="I44" s="288" t="s">
        <v>2135</v>
      </c>
      <c r="J44" s="289">
        <v>0</v>
      </c>
      <c r="K44" s="289">
        <v>0</v>
      </c>
      <c r="L44" s="299" t="s">
        <v>2077</v>
      </c>
      <c r="M44" s="290" t="s">
        <v>329</v>
      </c>
      <c r="N44" s="307" t="s">
        <v>2118</v>
      </c>
    </row>
    <row r="45" spans="1:14" ht="18" customHeight="1" x14ac:dyDescent="0.35">
      <c r="A45" s="249">
        <v>69</v>
      </c>
      <c r="B45" s="262" t="s">
        <v>878</v>
      </c>
      <c r="C45" s="209" t="s">
        <v>2145</v>
      </c>
      <c r="D45" s="209" t="s">
        <v>2146</v>
      </c>
      <c r="E45" s="209" t="s">
        <v>2147</v>
      </c>
      <c r="F45" s="256" t="s">
        <v>2148</v>
      </c>
      <c r="G45" s="256" t="s">
        <v>2149</v>
      </c>
      <c r="H45" s="269" t="s">
        <v>1927</v>
      </c>
      <c r="I45" s="291" t="s">
        <v>2123</v>
      </c>
      <c r="J45" s="292">
        <v>0</v>
      </c>
      <c r="K45" s="292">
        <v>0</v>
      </c>
      <c r="L45" s="300" t="s">
        <v>2150</v>
      </c>
      <c r="M45" s="298" t="s">
        <v>2151</v>
      </c>
      <c r="N45" s="303" t="s">
        <v>2152</v>
      </c>
    </row>
    <row r="46" spans="1:14" ht="18" customHeight="1" x14ac:dyDescent="0.35">
      <c r="A46" s="250">
        <v>70</v>
      </c>
      <c r="B46" s="262" t="s">
        <v>878</v>
      </c>
      <c r="C46" s="205" t="s">
        <v>2145</v>
      </c>
      <c r="D46" s="205" t="s">
        <v>2153</v>
      </c>
      <c r="E46" s="205" t="s">
        <v>2154</v>
      </c>
      <c r="F46" s="273" t="s">
        <v>2155</v>
      </c>
      <c r="G46" s="273" t="s">
        <v>2156</v>
      </c>
      <c r="H46" s="276" t="s">
        <v>1927</v>
      </c>
      <c r="I46" s="288" t="s">
        <v>2157</v>
      </c>
      <c r="J46" s="289">
        <v>2</v>
      </c>
      <c r="K46" s="289">
        <v>2</v>
      </c>
      <c r="L46" s="299" t="s">
        <v>2158</v>
      </c>
      <c r="M46" s="290" t="s">
        <v>2159</v>
      </c>
      <c r="N46" s="302" t="s">
        <v>1509</v>
      </c>
    </row>
    <row r="47" spans="1:14" ht="18" customHeight="1" x14ac:dyDescent="0.35">
      <c r="A47" s="249">
        <v>71</v>
      </c>
      <c r="B47" s="262" t="s">
        <v>878</v>
      </c>
      <c r="C47" s="209" t="s">
        <v>2145</v>
      </c>
      <c r="D47" s="209" t="s">
        <v>2160</v>
      </c>
      <c r="E47" s="209" t="s">
        <v>2161</v>
      </c>
      <c r="F47" s="256" t="s">
        <v>2162</v>
      </c>
      <c r="G47" s="256" t="s">
        <v>2163</v>
      </c>
      <c r="H47" s="268" t="s">
        <v>1920</v>
      </c>
      <c r="I47" s="291" t="s">
        <v>2123</v>
      </c>
      <c r="J47" s="292">
        <v>0</v>
      </c>
      <c r="K47" s="292">
        <v>0</v>
      </c>
      <c r="L47" s="300" t="s">
        <v>2077</v>
      </c>
      <c r="M47" s="293" t="s">
        <v>329</v>
      </c>
      <c r="N47" s="303" t="s">
        <v>2118</v>
      </c>
    </row>
    <row r="48" spans="1:14" ht="18" customHeight="1" x14ac:dyDescent="0.35">
      <c r="A48" s="250">
        <v>72</v>
      </c>
      <c r="B48" s="262" t="s">
        <v>878</v>
      </c>
      <c r="C48" s="205" t="s">
        <v>2164</v>
      </c>
      <c r="D48" s="205" t="s">
        <v>2165</v>
      </c>
      <c r="E48" s="205" t="s">
        <v>2166</v>
      </c>
      <c r="F48" s="273" t="s">
        <v>2167</v>
      </c>
      <c r="G48" s="273" t="s">
        <v>2168</v>
      </c>
      <c r="H48" s="275" t="s">
        <v>1920</v>
      </c>
      <c r="I48" s="288" t="s">
        <v>1889</v>
      </c>
      <c r="J48" s="289">
        <v>0</v>
      </c>
      <c r="K48" s="289">
        <v>0</v>
      </c>
      <c r="L48" s="299" t="s">
        <v>2169</v>
      </c>
      <c r="M48" s="297" t="s">
        <v>2170</v>
      </c>
      <c r="N48" s="307" t="s">
        <v>2171</v>
      </c>
    </row>
    <row r="49" spans="1:14" ht="18" customHeight="1" x14ac:dyDescent="0.35">
      <c r="A49" s="249">
        <v>73</v>
      </c>
      <c r="B49" s="262" t="s">
        <v>878</v>
      </c>
      <c r="C49" s="209" t="s">
        <v>2172</v>
      </c>
      <c r="D49" s="209" t="s">
        <v>2173</v>
      </c>
      <c r="E49" s="209" t="s">
        <v>2174</v>
      </c>
      <c r="F49" s="256" t="s">
        <v>2175</v>
      </c>
      <c r="G49" s="256" t="s">
        <v>2176</v>
      </c>
      <c r="H49" s="268" t="s">
        <v>1920</v>
      </c>
      <c r="I49" s="291" t="s">
        <v>2123</v>
      </c>
      <c r="J49" s="292">
        <v>0</v>
      </c>
      <c r="K49" s="292">
        <v>0</v>
      </c>
      <c r="L49" s="300" t="s">
        <v>2077</v>
      </c>
      <c r="M49" s="293" t="s">
        <v>329</v>
      </c>
      <c r="N49" s="303" t="s">
        <v>2118</v>
      </c>
    </row>
    <row r="50" spans="1:14" ht="18" customHeight="1" x14ac:dyDescent="0.35">
      <c r="A50" s="250">
        <v>74</v>
      </c>
      <c r="B50" s="263" t="s">
        <v>1743</v>
      </c>
      <c r="C50" s="205" t="s">
        <v>2177</v>
      </c>
      <c r="D50" s="205" t="s">
        <v>2178</v>
      </c>
      <c r="E50" s="205" t="s">
        <v>2179</v>
      </c>
      <c r="F50" s="273" t="s">
        <v>2180</v>
      </c>
      <c r="G50" s="273" t="s">
        <v>2181</v>
      </c>
      <c r="H50" s="275" t="s">
        <v>1920</v>
      </c>
      <c r="I50" s="288" t="s">
        <v>2182</v>
      </c>
      <c r="J50" s="289">
        <v>85</v>
      </c>
      <c r="K50" s="289">
        <f>LEFT(I50,FIND(" ",I50)-1)*J50</f>
        <v>340</v>
      </c>
      <c r="L50" s="299" t="s">
        <v>2183</v>
      </c>
      <c r="M50" s="297" t="s">
        <v>2184</v>
      </c>
      <c r="N50" s="302" t="s">
        <v>1509</v>
      </c>
    </row>
    <row r="51" spans="1:14" ht="18" customHeight="1" x14ac:dyDescent="0.35">
      <c r="A51" s="249">
        <v>75</v>
      </c>
      <c r="B51" s="263" t="s">
        <v>1743</v>
      </c>
      <c r="C51" s="209" t="s">
        <v>2177</v>
      </c>
      <c r="D51" s="209" t="s">
        <v>2185</v>
      </c>
      <c r="E51" s="209" t="s">
        <v>2186</v>
      </c>
      <c r="F51" s="256" t="s">
        <v>2187</v>
      </c>
      <c r="G51" s="256" t="s">
        <v>2188</v>
      </c>
      <c r="H51" s="268" t="s">
        <v>1920</v>
      </c>
      <c r="I51" s="291" t="s">
        <v>1889</v>
      </c>
      <c r="J51" s="292">
        <v>500</v>
      </c>
      <c r="K51" s="292">
        <v>500</v>
      </c>
      <c r="L51" s="300" t="s">
        <v>2189</v>
      </c>
      <c r="M51" s="298" t="s">
        <v>2190</v>
      </c>
      <c r="N51" s="304" t="s">
        <v>1509</v>
      </c>
    </row>
    <row r="52" spans="1:14" ht="18" customHeight="1" x14ac:dyDescent="0.35">
      <c r="A52" s="250">
        <v>76</v>
      </c>
      <c r="B52" s="263" t="s">
        <v>1743</v>
      </c>
      <c r="C52" s="205" t="s">
        <v>2191</v>
      </c>
      <c r="D52" s="205" t="s">
        <v>2192</v>
      </c>
      <c r="E52" s="205" t="s">
        <v>2193</v>
      </c>
      <c r="F52" s="273" t="s">
        <v>2194</v>
      </c>
      <c r="G52" s="273" t="s">
        <v>2195</v>
      </c>
      <c r="H52" s="275" t="s">
        <v>1920</v>
      </c>
      <c r="I52" s="288" t="s">
        <v>1921</v>
      </c>
      <c r="J52" s="289">
        <v>120</v>
      </c>
      <c r="K52" s="289">
        <v>120</v>
      </c>
      <c r="L52" s="299" t="s">
        <v>2196</v>
      </c>
      <c r="M52" s="297" t="s">
        <v>2197</v>
      </c>
      <c r="N52" s="302" t="s">
        <v>1509</v>
      </c>
    </row>
    <row r="53" spans="1:14" ht="18" customHeight="1" x14ac:dyDescent="0.35">
      <c r="A53" s="249">
        <v>77</v>
      </c>
      <c r="B53" s="263" t="s">
        <v>1743</v>
      </c>
      <c r="C53" s="209" t="s">
        <v>2198</v>
      </c>
      <c r="D53" s="209" t="s">
        <v>2199</v>
      </c>
      <c r="E53" s="209" t="s">
        <v>2200</v>
      </c>
      <c r="F53" s="256" t="s">
        <v>2201</v>
      </c>
      <c r="G53" s="256" t="s">
        <v>2202</v>
      </c>
      <c r="H53" s="268" t="s">
        <v>1920</v>
      </c>
      <c r="I53" s="291" t="s">
        <v>2203</v>
      </c>
      <c r="J53" s="292">
        <v>70</v>
      </c>
      <c r="K53" s="292">
        <f>LEFT(I53,FIND(" ",I53)-1)*J53</f>
        <v>700</v>
      </c>
      <c r="L53" s="300" t="s">
        <v>2204</v>
      </c>
      <c r="M53" s="298" t="s">
        <v>2205</v>
      </c>
      <c r="N53" s="304" t="s">
        <v>2206</v>
      </c>
    </row>
    <row r="54" spans="1:14" ht="18" customHeight="1" x14ac:dyDescent="0.35">
      <c r="A54" s="250">
        <v>78</v>
      </c>
      <c r="B54" s="263" t="s">
        <v>1743</v>
      </c>
      <c r="C54" s="205" t="s">
        <v>2198</v>
      </c>
      <c r="D54" s="205" t="s">
        <v>2207</v>
      </c>
      <c r="E54" s="205" t="s">
        <v>2208</v>
      </c>
      <c r="F54" s="273" t="s">
        <v>2209</v>
      </c>
      <c r="G54" s="273" t="s">
        <v>2210</v>
      </c>
      <c r="H54" s="275" t="s">
        <v>1920</v>
      </c>
      <c r="I54" s="288" t="s">
        <v>1889</v>
      </c>
      <c r="J54" s="289">
        <v>80</v>
      </c>
      <c r="K54" s="289">
        <v>80</v>
      </c>
      <c r="L54" s="299" t="s">
        <v>2211</v>
      </c>
      <c r="M54" s="297" t="s">
        <v>2212</v>
      </c>
      <c r="N54" s="302" t="s">
        <v>1509</v>
      </c>
    </row>
    <row r="55" spans="1:14" ht="18" customHeight="1" x14ac:dyDescent="0.35">
      <c r="A55" s="249">
        <v>79</v>
      </c>
      <c r="B55" s="263" t="s">
        <v>1743</v>
      </c>
      <c r="C55" s="209" t="s">
        <v>2198</v>
      </c>
      <c r="D55" s="209" t="s">
        <v>2213</v>
      </c>
      <c r="E55" s="209" t="s">
        <v>2214</v>
      </c>
      <c r="F55" s="256" t="s">
        <v>2215</v>
      </c>
      <c r="G55" s="256" t="s">
        <v>2216</v>
      </c>
      <c r="H55" s="266" t="s">
        <v>1888</v>
      </c>
      <c r="I55" s="291" t="s">
        <v>1889</v>
      </c>
      <c r="J55" s="292">
        <v>50</v>
      </c>
      <c r="K55" s="292">
        <v>50</v>
      </c>
      <c r="L55" s="300" t="s">
        <v>2217</v>
      </c>
      <c r="M55" s="298" t="s">
        <v>2218</v>
      </c>
      <c r="N55" s="305" t="s">
        <v>1888</v>
      </c>
    </row>
    <row r="56" spans="1:14" ht="18" customHeight="1" x14ac:dyDescent="0.35">
      <c r="A56" s="250">
        <v>80</v>
      </c>
      <c r="B56" s="263" t="s">
        <v>1743</v>
      </c>
      <c r="C56" s="205" t="s">
        <v>2219</v>
      </c>
      <c r="D56" s="205" t="s">
        <v>2220</v>
      </c>
      <c r="E56" s="205" t="s">
        <v>2221</v>
      </c>
      <c r="F56" s="273" t="s">
        <v>2222</v>
      </c>
      <c r="G56" s="273" t="s">
        <v>2223</v>
      </c>
      <c r="H56" s="276" t="s">
        <v>1927</v>
      </c>
      <c r="I56" s="288" t="s">
        <v>1921</v>
      </c>
      <c r="J56" s="289">
        <v>35</v>
      </c>
      <c r="K56" s="289">
        <v>35</v>
      </c>
      <c r="L56" s="299" t="s">
        <v>2224</v>
      </c>
      <c r="M56" s="297" t="s">
        <v>2225</v>
      </c>
      <c r="N56" s="302" t="s">
        <v>1509</v>
      </c>
    </row>
    <row r="57" spans="1:14" ht="18" customHeight="1" x14ac:dyDescent="0.35">
      <c r="A57" s="249">
        <v>81</v>
      </c>
      <c r="B57" s="263" t="s">
        <v>1743</v>
      </c>
      <c r="C57" s="209" t="s">
        <v>2226</v>
      </c>
      <c r="D57" s="209" t="s">
        <v>2227</v>
      </c>
      <c r="E57" s="209" t="s">
        <v>2228</v>
      </c>
      <c r="F57" s="256" t="s">
        <v>2229</v>
      </c>
      <c r="G57" s="256" t="s">
        <v>2230</v>
      </c>
      <c r="H57" s="268" t="s">
        <v>1920</v>
      </c>
      <c r="I57" s="291" t="s">
        <v>1921</v>
      </c>
      <c r="J57" s="292">
        <v>350</v>
      </c>
      <c r="K57" s="292">
        <v>350</v>
      </c>
      <c r="L57" s="300" t="s">
        <v>2231</v>
      </c>
      <c r="M57" s="298" t="s">
        <v>2232</v>
      </c>
      <c r="N57" s="304" t="s">
        <v>1509</v>
      </c>
    </row>
    <row r="58" spans="1:14" ht="18" customHeight="1" x14ac:dyDescent="0.35">
      <c r="A58" s="250">
        <v>82</v>
      </c>
      <c r="B58" s="263" t="s">
        <v>1743</v>
      </c>
      <c r="C58" s="205" t="s">
        <v>2226</v>
      </c>
      <c r="D58" s="205" t="s">
        <v>2233</v>
      </c>
      <c r="E58" s="205" t="s">
        <v>2234</v>
      </c>
      <c r="F58" s="273" t="s">
        <v>2235</v>
      </c>
      <c r="G58" s="273" t="s">
        <v>2236</v>
      </c>
      <c r="H58" s="274" t="s">
        <v>1888</v>
      </c>
      <c r="I58" s="288" t="s">
        <v>1921</v>
      </c>
      <c r="J58" s="289">
        <v>97.5</v>
      </c>
      <c r="K58" s="289">
        <v>97.5</v>
      </c>
      <c r="L58" s="299" t="s">
        <v>2237</v>
      </c>
      <c r="M58" s="297" t="s">
        <v>2238</v>
      </c>
      <c r="N58" s="302" t="s">
        <v>2239</v>
      </c>
    </row>
    <row r="59" spans="1:14" ht="18" customHeight="1" x14ac:dyDescent="0.35">
      <c r="A59" s="249">
        <v>83</v>
      </c>
      <c r="B59" s="263" t="s">
        <v>1743</v>
      </c>
      <c r="C59" s="209" t="s">
        <v>2240</v>
      </c>
      <c r="D59" s="209" t="s">
        <v>2241</v>
      </c>
      <c r="E59" s="209" t="s">
        <v>2242</v>
      </c>
      <c r="F59" s="256" t="s">
        <v>2243</v>
      </c>
      <c r="G59" s="256" t="s">
        <v>2244</v>
      </c>
      <c r="H59" s="268" t="s">
        <v>1920</v>
      </c>
      <c r="I59" s="291" t="s">
        <v>1921</v>
      </c>
      <c r="J59" s="292">
        <v>200</v>
      </c>
      <c r="K59" s="292">
        <v>200</v>
      </c>
      <c r="L59" s="300" t="s">
        <v>2245</v>
      </c>
      <c r="M59" s="298" t="s">
        <v>2246</v>
      </c>
      <c r="N59" s="304" t="s">
        <v>1509</v>
      </c>
    </row>
    <row r="60" spans="1:14" ht="18" customHeight="1" x14ac:dyDescent="0.35">
      <c r="A60" s="250">
        <v>84</v>
      </c>
      <c r="B60" s="263" t="s">
        <v>1743</v>
      </c>
      <c r="C60" s="205" t="s">
        <v>2247</v>
      </c>
      <c r="D60" s="205" t="s">
        <v>2248</v>
      </c>
      <c r="E60" s="205" t="s">
        <v>2249</v>
      </c>
      <c r="F60" s="273" t="s">
        <v>2250</v>
      </c>
      <c r="G60" s="273" t="s">
        <v>2251</v>
      </c>
      <c r="H60" s="275" t="s">
        <v>1920</v>
      </c>
      <c r="I60" s="288" t="s">
        <v>1889</v>
      </c>
      <c r="J60" s="289">
        <v>40</v>
      </c>
      <c r="K60" s="289">
        <v>40</v>
      </c>
      <c r="L60" s="299" t="s">
        <v>2252</v>
      </c>
      <c r="M60" s="297" t="s">
        <v>2253</v>
      </c>
      <c r="N60" s="302" t="s">
        <v>1509</v>
      </c>
    </row>
    <row r="61" spans="1:14" ht="18" customHeight="1" x14ac:dyDescent="0.35">
      <c r="A61" s="249">
        <v>85</v>
      </c>
      <c r="B61" s="263" t="s">
        <v>1743</v>
      </c>
      <c r="C61" s="209" t="s">
        <v>2247</v>
      </c>
      <c r="D61" s="209" t="s">
        <v>2254</v>
      </c>
      <c r="E61" s="209" t="s">
        <v>2255</v>
      </c>
      <c r="F61" s="256" t="s">
        <v>2256</v>
      </c>
      <c r="G61" s="256" t="s">
        <v>2257</v>
      </c>
      <c r="H61" s="268" t="s">
        <v>1920</v>
      </c>
      <c r="I61" s="291" t="s">
        <v>1889</v>
      </c>
      <c r="J61" s="292">
        <v>60</v>
      </c>
      <c r="K61" s="292">
        <v>60</v>
      </c>
      <c r="L61" s="300" t="s">
        <v>2258</v>
      </c>
      <c r="M61" s="298" t="s">
        <v>2259</v>
      </c>
      <c r="N61" s="304" t="s">
        <v>1509</v>
      </c>
    </row>
    <row r="62" spans="1:14" ht="18" customHeight="1" x14ac:dyDescent="0.35">
      <c r="A62" s="250">
        <v>86</v>
      </c>
      <c r="B62" s="263" t="s">
        <v>1743</v>
      </c>
      <c r="C62" s="205" t="s">
        <v>2247</v>
      </c>
      <c r="D62" s="205" t="s">
        <v>2260</v>
      </c>
      <c r="E62" s="205" t="s">
        <v>2261</v>
      </c>
      <c r="F62" s="273" t="s">
        <v>2262</v>
      </c>
      <c r="G62" s="273" t="s">
        <v>2263</v>
      </c>
      <c r="H62" s="274" t="s">
        <v>1888</v>
      </c>
      <c r="I62" s="288" t="s">
        <v>1889</v>
      </c>
      <c r="J62" s="289">
        <v>45</v>
      </c>
      <c r="K62" s="289">
        <v>45</v>
      </c>
      <c r="L62" s="299" t="s">
        <v>2264</v>
      </c>
      <c r="M62" s="297" t="s">
        <v>2265</v>
      </c>
      <c r="N62" s="306" t="s">
        <v>1888</v>
      </c>
    </row>
    <row r="63" spans="1:14" ht="18" customHeight="1" x14ac:dyDescent="0.35">
      <c r="A63" s="249">
        <v>87</v>
      </c>
      <c r="B63" s="263" t="s">
        <v>1743</v>
      </c>
      <c r="C63" s="209" t="s">
        <v>2266</v>
      </c>
      <c r="D63" s="209" t="s">
        <v>2267</v>
      </c>
      <c r="E63" s="209" t="s">
        <v>2268</v>
      </c>
      <c r="F63" s="256" t="s">
        <v>2269</v>
      </c>
      <c r="G63" s="256" t="s">
        <v>2270</v>
      </c>
      <c r="H63" s="268" t="s">
        <v>1920</v>
      </c>
      <c r="I63" s="291" t="s">
        <v>1889</v>
      </c>
      <c r="J63" s="292">
        <v>30</v>
      </c>
      <c r="K63" s="292">
        <v>30</v>
      </c>
      <c r="L63" s="300" t="s">
        <v>2271</v>
      </c>
      <c r="M63" s="298" t="s">
        <v>2272</v>
      </c>
      <c r="N63" s="304" t="s">
        <v>1509</v>
      </c>
    </row>
    <row r="64" spans="1:14" ht="18" customHeight="1" x14ac:dyDescent="0.35">
      <c r="A64" s="250">
        <v>88</v>
      </c>
      <c r="B64" s="263" t="s">
        <v>1743</v>
      </c>
      <c r="C64" s="205" t="s">
        <v>2266</v>
      </c>
      <c r="D64" s="205" t="s">
        <v>2273</v>
      </c>
      <c r="E64" s="205" t="s">
        <v>2067</v>
      </c>
      <c r="F64" s="273" t="s">
        <v>2274</v>
      </c>
      <c r="G64" s="273" t="s">
        <v>2275</v>
      </c>
      <c r="H64" s="275" t="s">
        <v>1920</v>
      </c>
      <c r="I64" s="288" t="s">
        <v>1921</v>
      </c>
      <c r="J64" s="289">
        <v>45</v>
      </c>
      <c r="K64" s="289">
        <v>45</v>
      </c>
      <c r="L64" s="299" t="s">
        <v>2276</v>
      </c>
      <c r="M64" s="297" t="s">
        <v>2072</v>
      </c>
      <c r="N64" s="302" t="s">
        <v>1509</v>
      </c>
    </row>
    <row r="65" spans="1:14" ht="18" customHeight="1" x14ac:dyDescent="0.35">
      <c r="A65" s="249">
        <v>89</v>
      </c>
      <c r="B65" s="263" t="s">
        <v>1743</v>
      </c>
      <c r="C65" s="209" t="s">
        <v>2277</v>
      </c>
      <c r="D65" s="209" t="s">
        <v>2278</v>
      </c>
      <c r="E65" s="209" t="s">
        <v>2279</v>
      </c>
      <c r="F65" s="256" t="s">
        <v>2280</v>
      </c>
      <c r="G65" s="256" t="s">
        <v>2281</v>
      </c>
      <c r="H65" s="268" t="s">
        <v>1920</v>
      </c>
      <c r="I65" s="291" t="s">
        <v>2282</v>
      </c>
      <c r="J65" s="292">
        <v>25</v>
      </c>
      <c r="K65" s="292">
        <v>25</v>
      </c>
      <c r="L65" s="300" t="s">
        <v>2283</v>
      </c>
      <c r="M65" s="293" t="s">
        <v>329</v>
      </c>
      <c r="N65" s="303" t="s">
        <v>2284</v>
      </c>
    </row>
    <row r="66" spans="1:14" ht="18" customHeight="1" x14ac:dyDescent="0.35">
      <c r="A66" s="250">
        <v>90</v>
      </c>
      <c r="B66" s="263" t="s">
        <v>1743</v>
      </c>
      <c r="C66" s="205" t="s">
        <v>2277</v>
      </c>
      <c r="D66" s="205" t="s">
        <v>2285</v>
      </c>
      <c r="E66" s="205" t="s">
        <v>2286</v>
      </c>
      <c r="F66" s="273" t="s">
        <v>2287</v>
      </c>
      <c r="G66" s="273" t="s">
        <v>2288</v>
      </c>
      <c r="H66" s="275" t="s">
        <v>1920</v>
      </c>
      <c r="I66" s="288" t="s">
        <v>2282</v>
      </c>
      <c r="J66" s="289">
        <v>15</v>
      </c>
      <c r="K66" s="289">
        <v>15</v>
      </c>
      <c r="L66" s="299" t="s">
        <v>2289</v>
      </c>
      <c r="M66" s="290" t="s">
        <v>329</v>
      </c>
      <c r="N66" s="307" t="s">
        <v>2284</v>
      </c>
    </row>
    <row r="67" spans="1:14" ht="18" customHeight="1" x14ac:dyDescent="0.35">
      <c r="A67" s="249">
        <v>91</v>
      </c>
      <c r="B67" s="263" t="s">
        <v>1743</v>
      </c>
      <c r="C67" s="209" t="s">
        <v>2277</v>
      </c>
      <c r="D67" s="209" t="s">
        <v>2290</v>
      </c>
      <c r="E67" s="209" t="s">
        <v>2291</v>
      </c>
      <c r="F67" s="256" t="s">
        <v>2292</v>
      </c>
      <c r="G67" s="256" t="s">
        <v>2293</v>
      </c>
      <c r="H67" s="268" t="s">
        <v>1920</v>
      </c>
      <c r="I67" s="291" t="s">
        <v>2282</v>
      </c>
      <c r="J67" s="292">
        <v>20</v>
      </c>
      <c r="K67" s="292">
        <v>20</v>
      </c>
      <c r="L67" s="300" t="s">
        <v>2289</v>
      </c>
      <c r="M67" s="293" t="s">
        <v>329</v>
      </c>
      <c r="N67" s="303" t="s">
        <v>2284</v>
      </c>
    </row>
    <row r="68" spans="1:14" ht="18" customHeight="1" x14ac:dyDescent="0.35">
      <c r="A68" s="250">
        <v>92</v>
      </c>
      <c r="B68" s="263" t="s">
        <v>1743</v>
      </c>
      <c r="C68" s="205" t="s">
        <v>2294</v>
      </c>
      <c r="D68" s="205" t="s">
        <v>2295</v>
      </c>
      <c r="E68" s="205" t="s">
        <v>2296</v>
      </c>
      <c r="F68" s="273" t="s">
        <v>2297</v>
      </c>
      <c r="G68" s="273" t="s">
        <v>2298</v>
      </c>
      <c r="H68" s="274" t="s">
        <v>1888</v>
      </c>
      <c r="I68" s="288" t="s">
        <v>1889</v>
      </c>
      <c r="J68" s="289">
        <v>300</v>
      </c>
      <c r="K68" s="289">
        <v>300</v>
      </c>
      <c r="L68" s="299" t="s">
        <v>2299</v>
      </c>
      <c r="M68" s="297" t="s">
        <v>2300</v>
      </c>
      <c r="N68" s="306" t="s">
        <v>1888</v>
      </c>
    </row>
    <row r="69" spans="1:14" ht="18" customHeight="1" x14ac:dyDescent="0.35">
      <c r="A69" s="249">
        <v>93</v>
      </c>
      <c r="B69" s="263" t="s">
        <v>1743</v>
      </c>
      <c r="C69" s="209" t="s">
        <v>2014</v>
      </c>
      <c r="D69" s="209" t="s">
        <v>2301</v>
      </c>
      <c r="E69" s="209" t="s">
        <v>2302</v>
      </c>
      <c r="F69" s="256" t="s">
        <v>2303</v>
      </c>
      <c r="G69" s="256" t="s">
        <v>2304</v>
      </c>
      <c r="H69" s="269" t="s">
        <v>1927</v>
      </c>
      <c r="I69" s="291" t="s">
        <v>1889</v>
      </c>
      <c r="J69" s="292">
        <v>80</v>
      </c>
      <c r="K69" s="292">
        <v>80</v>
      </c>
      <c r="L69" s="300" t="s">
        <v>2305</v>
      </c>
      <c r="M69" s="298" t="s">
        <v>2306</v>
      </c>
      <c r="N69" s="304" t="s">
        <v>1509</v>
      </c>
    </row>
    <row r="70" spans="1:14" ht="18" customHeight="1" x14ac:dyDescent="0.35">
      <c r="A70" s="250">
        <v>94</v>
      </c>
      <c r="B70" s="264" t="s">
        <v>2307</v>
      </c>
      <c r="C70" s="205" t="s">
        <v>2308</v>
      </c>
      <c r="D70" s="205" t="s">
        <v>2309</v>
      </c>
      <c r="E70" s="205" t="s">
        <v>2310</v>
      </c>
      <c r="F70" s="273" t="s">
        <v>2311</v>
      </c>
      <c r="G70" s="273" t="s">
        <v>2312</v>
      </c>
      <c r="H70" s="275" t="s">
        <v>1920</v>
      </c>
      <c r="I70" s="288" t="s">
        <v>1889</v>
      </c>
      <c r="J70" s="289">
        <v>50</v>
      </c>
      <c r="K70" s="289">
        <v>50</v>
      </c>
      <c r="L70" s="299" t="s">
        <v>2313</v>
      </c>
      <c r="M70" s="297" t="s">
        <v>2314</v>
      </c>
      <c r="N70" s="306" t="s">
        <v>1888</v>
      </c>
    </row>
    <row r="71" spans="1:14" ht="18" customHeight="1" x14ac:dyDescent="0.35">
      <c r="A71" s="249">
        <v>95</v>
      </c>
      <c r="B71" s="264" t="s">
        <v>2307</v>
      </c>
      <c r="C71" s="209" t="s">
        <v>2315</v>
      </c>
      <c r="D71" s="209" t="s">
        <v>2316</v>
      </c>
      <c r="E71" s="209" t="s">
        <v>2317</v>
      </c>
      <c r="F71" s="256" t="s">
        <v>2318</v>
      </c>
      <c r="G71" s="256" t="s">
        <v>2319</v>
      </c>
      <c r="H71" s="269" t="s">
        <v>1927</v>
      </c>
      <c r="I71" s="291" t="s">
        <v>1889</v>
      </c>
      <c r="J71" s="292">
        <v>150</v>
      </c>
      <c r="K71" s="292">
        <v>150</v>
      </c>
      <c r="L71" s="300" t="s">
        <v>2320</v>
      </c>
      <c r="M71" s="298" t="s">
        <v>2321</v>
      </c>
      <c r="N71" s="304" t="s">
        <v>1509</v>
      </c>
    </row>
    <row r="72" spans="1:14" ht="18" customHeight="1" x14ac:dyDescent="0.35">
      <c r="A72" s="250">
        <v>96</v>
      </c>
      <c r="B72" s="264" t="s">
        <v>2307</v>
      </c>
      <c r="C72" s="205" t="s">
        <v>2315</v>
      </c>
      <c r="D72" s="205" t="s">
        <v>2322</v>
      </c>
      <c r="E72" s="205" t="s">
        <v>2323</v>
      </c>
      <c r="F72" s="273" t="s">
        <v>2324</v>
      </c>
      <c r="G72" s="273" t="s">
        <v>2325</v>
      </c>
      <c r="H72" s="274" t="s">
        <v>1888</v>
      </c>
      <c r="I72" s="288" t="s">
        <v>1889</v>
      </c>
      <c r="J72" s="289">
        <v>80</v>
      </c>
      <c r="K72" s="289">
        <v>80</v>
      </c>
      <c r="L72" s="299" t="s">
        <v>2326</v>
      </c>
      <c r="M72" s="297" t="s">
        <v>2327</v>
      </c>
      <c r="N72" s="306" t="s">
        <v>1888</v>
      </c>
    </row>
    <row r="73" spans="1:14" ht="18" customHeight="1" x14ac:dyDescent="0.35">
      <c r="A73" s="249">
        <v>97</v>
      </c>
      <c r="B73" s="264" t="s">
        <v>2307</v>
      </c>
      <c r="C73" s="209" t="s">
        <v>2328</v>
      </c>
      <c r="D73" s="209" t="s">
        <v>2329</v>
      </c>
      <c r="E73" s="209" t="s">
        <v>2330</v>
      </c>
      <c r="F73" s="256" t="s">
        <v>2331</v>
      </c>
      <c r="G73" s="256" t="s">
        <v>2332</v>
      </c>
      <c r="H73" s="268" t="s">
        <v>1920</v>
      </c>
      <c r="I73" s="291" t="s">
        <v>1889</v>
      </c>
      <c r="J73" s="292">
        <v>30</v>
      </c>
      <c r="K73" s="292">
        <v>30</v>
      </c>
      <c r="L73" s="300" t="s">
        <v>2333</v>
      </c>
      <c r="M73" s="298" t="s">
        <v>2334</v>
      </c>
      <c r="N73" s="304" t="s">
        <v>1509</v>
      </c>
    </row>
    <row r="74" spans="1:14" ht="18" customHeight="1" x14ac:dyDescent="0.35">
      <c r="A74" s="250">
        <v>98</v>
      </c>
      <c r="B74" s="264" t="s">
        <v>2307</v>
      </c>
      <c r="C74" s="205" t="s">
        <v>2328</v>
      </c>
      <c r="D74" s="205" t="s">
        <v>2335</v>
      </c>
      <c r="E74" s="205" t="s">
        <v>2336</v>
      </c>
      <c r="F74" s="273" t="s">
        <v>2337</v>
      </c>
      <c r="G74" s="273" t="s">
        <v>2338</v>
      </c>
      <c r="H74" s="275" t="s">
        <v>1920</v>
      </c>
      <c r="I74" s="288" t="s">
        <v>1889</v>
      </c>
      <c r="J74" s="289">
        <v>25</v>
      </c>
      <c r="K74" s="289">
        <v>25</v>
      </c>
      <c r="L74" s="299" t="s">
        <v>2339</v>
      </c>
      <c r="M74" s="297" t="s">
        <v>2340</v>
      </c>
      <c r="N74" s="302" t="s">
        <v>1509</v>
      </c>
    </row>
    <row r="75" spans="1:14" ht="18" customHeight="1" x14ac:dyDescent="0.35">
      <c r="A75" s="249">
        <v>99</v>
      </c>
      <c r="B75" s="264" t="s">
        <v>2307</v>
      </c>
      <c r="C75" s="209" t="s">
        <v>2341</v>
      </c>
      <c r="D75" s="209" t="s">
        <v>2342</v>
      </c>
      <c r="E75" s="209" t="s">
        <v>2343</v>
      </c>
      <c r="F75" s="256" t="s">
        <v>2344</v>
      </c>
      <c r="G75" s="256" t="s">
        <v>2341</v>
      </c>
      <c r="H75" s="268" t="s">
        <v>1920</v>
      </c>
      <c r="I75" s="291" t="s">
        <v>2345</v>
      </c>
      <c r="J75" s="292">
        <v>0</v>
      </c>
      <c r="K75" s="292">
        <v>0</v>
      </c>
      <c r="L75" s="300" t="s">
        <v>2346</v>
      </c>
      <c r="M75" s="293" t="s">
        <v>329</v>
      </c>
      <c r="N75" s="308" t="s">
        <v>2347</v>
      </c>
    </row>
    <row r="76" spans="1:14" ht="18" customHeight="1" x14ac:dyDescent="0.35">
      <c r="A76" s="250">
        <v>100</v>
      </c>
      <c r="B76" s="264" t="s">
        <v>2307</v>
      </c>
      <c r="C76" s="205" t="s">
        <v>2348</v>
      </c>
      <c r="D76" s="205" t="s">
        <v>2349</v>
      </c>
      <c r="E76" s="205" t="s">
        <v>2350</v>
      </c>
      <c r="F76" s="273" t="s">
        <v>2351</v>
      </c>
      <c r="G76" s="273" t="s">
        <v>2352</v>
      </c>
      <c r="H76" s="275" t="s">
        <v>1920</v>
      </c>
      <c r="I76" s="288" t="s">
        <v>2353</v>
      </c>
      <c r="J76" s="289">
        <v>0</v>
      </c>
      <c r="K76" s="289">
        <v>0</v>
      </c>
      <c r="L76" s="299" t="s">
        <v>2354</v>
      </c>
      <c r="M76" s="290" t="s">
        <v>329</v>
      </c>
      <c r="N76" s="307" t="s">
        <v>2118</v>
      </c>
    </row>
    <row r="77" spans="1:14" ht="18" customHeight="1" x14ac:dyDescent="0.35">
      <c r="A77" s="257">
        <v>101</v>
      </c>
      <c r="B77" s="265" t="s">
        <v>2307</v>
      </c>
      <c r="C77" s="258" t="s">
        <v>2355</v>
      </c>
      <c r="D77" s="258" t="s">
        <v>2356</v>
      </c>
      <c r="E77" s="258" t="s">
        <v>2357</v>
      </c>
      <c r="F77" s="259" t="s">
        <v>2358</v>
      </c>
      <c r="G77" s="259" t="s">
        <v>2359</v>
      </c>
      <c r="H77" s="270" t="s">
        <v>2360</v>
      </c>
      <c r="I77" s="294" t="s">
        <v>2361</v>
      </c>
      <c r="J77" s="295">
        <v>0</v>
      </c>
      <c r="K77" s="295">
        <v>0</v>
      </c>
      <c r="L77" s="301" t="s">
        <v>2362</v>
      </c>
      <c r="M77" s="296" t="s">
        <v>329</v>
      </c>
      <c r="N77" s="309" t="s">
        <v>2363</v>
      </c>
    </row>
    <row r="79" spans="1:14" x14ac:dyDescent="0.35">
      <c r="H79" s="279" t="s">
        <v>2364</v>
      </c>
      <c r="I79" s="280"/>
      <c r="J79" s="280"/>
      <c r="K79" s="281">
        <f>SUM(K2:K27)</f>
        <v>155.52000000000001</v>
      </c>
    </row>
    <row r="80" spans="1:14" x14ac:dyDescent="0.35">
      <c r="H80" s="279" t="s">
        <v>2365</v>
      </c>
      <c r="I80" s="280"/>
      <c r="J80" s="280"/>
      <c r="K80" s="281">
        <f>SUM(K28:K49)</f>
        <v>108</v>
      </c>
    </row>
    <row r="81" spans="8:12" x14ac:dyDescent="0.35">
      <c r="H81" s="279" t="s">
        <v>2366</v>
      </c>
      <c r="I81" s="280"/>
      <c r="J81" s="280"/>
      <c r="K81" s="281">
        <f>SUM(K50:K69)</f>
        <v>3132.5</v>
      </c>
    </row>
    <row r="82" spans="8:12" x14ac:dyDescent="0.35">
      <c r="H82" s="282" t="s">
        <v>2367</v>
      </c>
      <c r="I82" s="283"/>
      <c r="J82" s="283"/>
      <c r="K82" s="284">
        <f>SUM(K70:K77)</f>
        <v>335</v>
      </c>
    </row>
    <row r="84" spans="8:12" x14ac:dyDescent="0.35">
      <c r="H84" s="285" t="s">
        <v>2368</v>
      </c>
      <c r="I84" s="285"/>
      <c r="J84" s="285"/>
      <c r="K84" s="286">
        <f>SUM(K79:K82)</f>
        <v>3731.02</v>
      </c>
      <c r="L84" s="278">
        <f>K84*18000</f>
        <v>67158360</v>
      </c>
    </row>
  </sheetData>
  <hyperlinks>
    <hyperlink ref="M2" r:id="rId1" tooltip="https://www.alibaba.com/showroom/lifepo4-cell-3-2v.html" xr:uid="{B4CA2033-E950-45BE-BB70-AF4B162A9098}"/>
    <hyperlink ref="M4" r:id="rId2" tooltip="https://www.alibaba.com/showroom/copper-busbar-battery.html" xr:uid="{B214B779-6776-4D20-A7BA-DECE7C36D199}"/>
    <hyperlink ref="M6" r:id="rId3" tooltip="https://www.alibaba.com/showroom/battery-insulation-material.html" xr:uid="{E753B726-388C-45A3-A16A-B6DD16AE296E}"/>
    <hyperlink ref="M7" r:id="rId4" tooltip="https://www.alibaba.com/showroom/thermal-pad-battery.html" xr:uid="{4811C63A-C765-4C93-BF2E-E7BA5D086559}"/>
    <hyperlink ref="M8" r:id="rId5" tooltip="https://www.alibaba.com/showroom/72v-bms.html" xr:uid="{10C47DF2-0F47-47C4-AFBA-15EEB9956D9A}"/>
    <hyperlink ref="M9" r:id="rId6" tooltip="https://www.alibaba.com/showroom/battery-wire-harness.html" xr:uid="{34915CA3-8549-4678-A6B9-88C88E2C1939}"/>
    <hyperlink ref="M10" r:id="rId7" tooltip="https://www.alibaba.com/showroom/hall-effect-current-sensor.html" xr:uid="{93BBBEFB-E583-493A-87F0-01446A821413}"/>
    <hyperlink ref="M11" r:id="rId8" tooltip="https://www.lcsc.com/" xr:uid="{B29C4935-3B31-41B3-A846-EB593B2131B8}"/>
    <hyperlink ref="M13" r:id="rId9" tooltip="https://www.alibaba.com/showroom/battery-fuse-mosfet.html" xr:uid="{70C93BBF-4E0B-446A-A144-1DF183CC4C92}"/>
    <hyperlink ref="M14" r:id="rId10" tooltip="https://www.alibaba.com/showroom/can-bus-transceiver-module.html" xr:uid="{E4DE7E85-5782-46EB-98F1-E9023B7593C5}"/>
    <hyperlink ref="M15" r:id="rId11" tooltip="https://www.alibaba.com/showroom/nfc-rfid-tag.html" xr:uid="{49A66A6C-7935-4F76-81AB-F177F731299F}"/>
    <hyperlink ref="M16" r:id="rId12" tooltip="https://www.alibaba.com/showroom/anderson-dc-connector.html" xr:uid="{9A34D591-0A8E-42B6-BC3D-A0E61E1C3016}"/>
    <hyperlink ref="M17" r:id="rId13" tooltip="https://www.alibaba.com/showroom/xt60-connector.html" xr:uid="{FC717213-9FD4-43CF-AFD5-C6AF1FE72926}"/>
    <hyperlink ref="M18" r:id="rId14" tooltip="https://www.alibaba.com/showroom/molex-jst-connector.html" xr:uid="{1A47B6C7-B51F-4FDC-8367-952AD7C43001}"/>
    <hyperlink ref="M19" r:id="rId15" tooltip="https://www.alibaba.com/showroom/abs-battery-casing.html" xr:uid="{215D6A60-50DB-4E84-A6B0-6D71466A3BA4}"/>
    <hyperlink ref="M20" r:id="rId16" tooltip="https://www.alibaba.com/showroom/rubber-gasket-o-ring.html" xr:uid="{1BC8C121-9798-4BAA-8123-6529B586D5FC}"/>
    <hyperlink ref="M21" r:id="rId17" tooltip="https://www.alibaba.com/showroom/plastic-handle-grip.html" xr:uid="{1EFAAD86-DECE-47D3-AEC9-1512301F2E05}"/>
    <hyperlink ref="M22" r:id="rId18" tooltip="https://www.alibaba.com/showroom/spring-latch-lock.html" xr:uid="{8A23B2A8-B5A8-404B-B4F2-04DED6D1D6C9}"/>
    <hyperlink ref="M23" r:id="rId19" tooltip="https://www.alibaba.com/showroom/screw-bolt-nut-set.html" xr:uid="{B091C90F-7FEA-4CAB-8EEA-390A86C3AF95}"/>
    <hyperlink ref="M24" r:id="rId20" tooltip="https://www.alibaba.com/showroom/battery-safety-vent.html" xr:uid="{E94B70FA-F5B0-4172-8686-9550602A2C12}"/>
    <hyperlink ref="M25" r:id="rId21" tooltip="https://www.alibaba.com/showroom/flame-retardant-material.html" xr:uid="{1C941585-ABBB-478E-B490-5A59E058A389}"/>
    <hyperlink ref="M27" r:id="rId22" tooltip="https://www.alibaba.com/showroom/foam-insert-packaging.html" xr:uid="{50E00007-8668-4BA1-9820-93D843D65A25}"/>
    <hyperlink ref="M31" r:id="rId23" tooltip="https://www.alibaba.com/showroom/can-rs485-adapter.html" xr:uid="{043C2C5F-8A0C-4380-9715-D2BBD4908E07}"/>
    <hyperlink ref="M32" r:id="rId24" tooltip="https://www.alibaba.com/showroom/4g-iot-gateway.html" xr:uid="{5EA00215-490C-470B-A350-753E8863FAB6}"/>
    <hyperlink ref="M34" r:id="rId25" tooltip="https://www.lcsc.com/" xr:uid="{AA19DAFE-47C6-43E2-9371-E0470CC0DBCE}"/>
    <hyperlink ref="M36" r:id="rId26" tooltip="https://m2m.telkomsel.com/" xr:uid="{6732F017-320E-4E51-83AD-5C79129AA7B4}"/>
    <hyperlink ref="M37" r:id="rId27" tooltip="https://instances.vantage.sh/" xr:uid="{C12FE2F6-04BF-4F2D-AFDE-0236E9EAD536}"/>
    <hyperlink ref="M38" r:id="rId28" tooltip="https://instances.vantage.sh/rds/" xr:uid="{2AFF5BB3-F8AC-4074-8F6E-899D30B7E769}"/>
    <hyperlink ref="M45" r:id="rId29" tooltip="https://firebase.google.com/pricing" xr:uid="{B1939254-1E09-4F9D-A024-A276203105F1}"/>
    <hyperlink ref="M48" r:id="rId30" tooltip="https://www.xendit.co/en/pricing/" xr:uid="{EE784EDC-2675-47D1-B61D-673EA714E23F}"/>
    <hyperlink ref="M50" r:id="rId31" tooltip="https://www.alibaba.com/showroom/solar-panel-400w.html" xr:uid="{AD3B27EA-A6DA-4EFB-9FC3-DAA52F05E1EE}"/>
    <hyperlink ref="M51" r:id="rId32" tooltip="https://www.alibaba.com/showroom/portable-generator-3kw.html" xr:uid="{13B4A750-5D08-43CF-A478-6915C8459434}"/>
    <hyperlink ref="M52" r:id="rId33" tooltip="https://www.renogy.com/collections/mppt-charge-controllers" xr:uid="{42114A88-37DF-441E-A056-CE287603842C}"/>
    <hyperlink ref="M53" r:id="rId34" tooltip="https://about.bnef.com/electric-vehicle-outlook/" xr:uid="{A7F2D812-9952-4E1F-97BE-3514821EEB2E}"/>
    <hyperlink ref="M54" r:id="rId35" tooltip="https://www.alibaba.com/showroom/battery-rack-steel.html" xr:uid="{DA46B087-D6BD-415D-A1B4-224BEAE735C2}"/>
    <hyperlink ref="M55" r:id="rId36" tooltip="https://www.alibaba.com/showroom/dc-busbar-copper.html" xr:uid="{C40D0D38-1073-457D-A3A5-21F944C6B1E7}"/>
    <hyperlink ref="M56" r:id="rId37" tooltip="https://www.alibaba.com/showroom/rack-bms-battery.html" xr:uid="{34AD23C2-235A-4422-B059-B9C05C6BCC72}"/>
    <hyperlink ref="M57" r:id="rId38" tooltip="https://www.alibaba.com/showroom/hybrid-inverter-5kw.html" xr:uid="{B66A3437-F86A-4BAB-9648-755470588101}"/>
    <hyperlink ref="M58" r:id="rId39" tooltip="https://atb.nrel.gov/electricity/2024/commercial_battery_storage" xr:uid="{45073B8F-2047-4C27-8F8D-A1208259C14F}"/>
    <hyperlink ref="M59" r:id="rId40" tooltip="https://www.alibaba.com/showroom/energy-management-system.html" xr:uid="{C7BD0D59-9B24-4995-B22E-A3873367BA54}"/>
    <hyperlink ref="M60" r:id="rId41" tooltip="https://www.alibaba.com/showroom/dc-distribution-panel.html" xr:uid="{31E53440-165D-49E3-9ADD-899E9EC11C39}"/>
    <hyperlink ref="M61" r:id="rId42" tooltip="https://www.alibaba.com/showroom/ac-distribution-panel.html" xr:uid="{69CDC893-FCBF-42F9-A659-750443D6712E}"/>
    <hyperlink ref="M62" r:id="rId43" tooltip="https://www.alibaba.com/showroom/protection-relay.html" xr:uid="{5B41EFA3-62C8-4ADA-ABE5-9C9968498626}"/>
    <hyperlink ref="M63" r:id="rId44" tooltip="https://www.alibaba.com/showroom/hmi-display-panel.html" xr:uid="{00F701CB-35B3-45E7-89DF-521CE5056E62}"/>
    <hyperlink ref="M64" r:id="rId45" tooltip="https://www.alibaba.com/showroom/4g-iot-gateway.html" xr:uid="{E8CB3575-587E-4FF5-86F8-7E75550558BB}"/>
    <hyperlink ref="M68" r:id="rId46" tooltip="https://www.alibaba.com/showroom/outdoor-ess-cabinet.html" xr:uid="{33FEC179-8A3B-4CAC-B43F-30B53C71176E}"/>
    <hyperlink ref="M69" r:id="rId47" tooltip="https://www.alibaba.com/showroom/fire-suppression-system.html" xr:uid="{D9D2560A-762C-4467-BDBA-620100E3DBB9}"/>
    <hyperlink ref="M70" r:id="rId48" tooltip="https://www.tokopedia.com/" xr:uid="{C1839F8C-78A7-4D9C-A08E-F31B91298AC7}"/>
    <hyperlink ref="M71" r:id="rId49" tooltip="https://www.alibaba.com/showroom/battery-discharge-load-bank.html" xr:uid="{31209572-D73E-48AD-8866-F0E490C0175E}"/>
    <hyperlink ref="M72" r:id="rId50" tooltip="https://www.alibaba.com/showroom/fireproof-safety-cabinet.html" xr:uid="{B063FD9A-BD80-43B9-8840-3BF728A9FE94}"/>
    <hyperlink ref="M73" r:id="rId51" tooltip="https://www.tokopedia.com/" xr:uid="{0E473177-737F-4F05-8F6B-9086A8370039}"/>
    <hyperlink ref="M74" r:id="rId52" tooltip="https://www.tokopedia.com/" xr:uid="{C9A10B51-A9F7-47D4-B464-30E55DB6E443}"/>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BBD73-C54C-42EC-A062-9870D95022DF}">
  <sheetPr>
    <tabColor rgb="FF1565C0"/>
  </sheetPr>
  <dimension ref="A1:H32"/>
  <sheetViews>
    <sheetView workbookViewId="0">
      <pane ySplit="2" topLeftCell="A3" activePane="bottomLeft" state="frozen"/>
      <selection pane="bottomLeft"/>
    </sheetView>
  </sheetViews>
  <sheetFormatPr defaultRowHeight="14.5" x14ac:dyDescent="0.35"/>
  <cols>
    <col min="1" max="1" width="32.7265625" customWidth="1"/>
    <col min="2" max="2" width="25.453125" customWidth="1"/>
    <col min="3" max="6" width="29.08984375" customWidth="1"/>
    <col min="7" max="7" width="36.36328125" customWidth="1"/>
  </cols>
  <sheetData>
    <row r="1" spans="1:8" ht="18.5" x14ac:dyDescent="0.45">
      <c r="A1" s="361" t="s">
        <v>4955</v>
      </c>
    </row>
    <row r="2" spans="1:8" x14ac:dyDescent="0.35">
      <c r="A2" s="186" t="s">
        <v>4956</v>
      </c>
    </row>
    <row r="4" spans="1:8" ht="15.5" x14ac:dyDescent="0.35">
      <c r="A4" s="439" t="s">
        <v>4957</v>
      </c>
    </row>
    <row r="5" spans="1:8" x14ac:dyDescent="0.35">
      <c r="A5" s="442" t="s">
        <v>4958</v>
      </c>
      <c r="B5" s="443" t="s">
        <v>4959</v>
      </c>
      <c r="C5" s="443" t="s">
        <v>4960</v>
      </c>
      <c r="D5" s="443" t="s">
        <v>4961</v>
      </c>
      <c r="E5" s="443" t="s">
        <v>4962</v>
      </c>
      <c r="F5" s="443" t="s">
        <v>3481</v>
      </c>
      <c r="G5" s="443" t="s">
        <v>3320</v>
      </c>
      <c r="H5" s="444" t="s">
        <v>1469</v>
      </c>
    </row>
    <row r="6" spans="1:8" x14ac:dyDescent="0.35">
      <c r="A6" s="445" t="s">
        <v>4963</v>
      </c>
      <c r="B6" s="360" t="s">
        <v>4964</v>
      </c>
      <c r="C6" s="360" t="s">
        <v>4965</v>
      </c>
      <c r="D6" s="360" t="s">
        <v>4966</v>
      </c>
      <c r="E6" s="360" t="s">
        <v>4967</v>
      </c>
      <c r="F6" s="360" t="s">
        <v>4968</v>
      </c>
      <c r="G6" s="360" t="s">
        <v>4969</v>
      </c>
      <c r="H6" s="446" t="s">
        <v>4970</v>
      </c>
    </row>
    <row r="7" spans="1:8" x14ac:dyDescent="0.35">
      <c r="A7" s="445" t="s">
        <v>4971</v>
      </c>
      <c r="B7" s="360" t="s">
        <v>4972</v>
      </c>
      <c r="C7" s="360" t="s">
        <v>4973</v>
      </c>
      <c r="D7" s="360" t="s">
        <v>4974</v>
      </c>
      <c r="E7" s="360" t="s">
        <v>4975</v>
      </c>
      <c r="F7" s="360" t="s">
        <v>4976</v>
      </c>
      <c r="G7" s="360" t="s">
        <v>4977</v>
      </c>
      <c r="H7" s="446" t="s">
        <v>4978</v>
      </c>
    </row>
    <row r="8" spans="1:8" x14ac:dyDescent="0.35">
      <c r="A8" s="445" t="s">
        <v>4979</v>
      </c>
      <c r="B8" s="360" t="s">
        <v>4980</v>
      </c>
      <c r="C8" s="360" t="s">
        <v>4981</v>
      </c>
      <c r="D8" s="360" t="s">
        <v>4982</v>
      </c>
      <c r="E8" s="360" t="s">
        <v>4983</v>
      </c>
      <c r="F8" s="360" t="s">
        <v>4984</v>
      </c>
      <c r="G8" s="360" t="s">
        <v>4985</v>
      </c>
      <c r="H8" s="446" t="s">
        <v>4986</v>
      </c>
    </row>
    <row r="9" spans="1:8" x14ac:dyDescent="0.35">
      <c r="A9" s="445" t="s">
        <v>4987</v>
      </c>
      <c r="B9" s="360" t="s">
        <v>4988</v>
      </c>
      <c r="C9" s="360" t="s">
        <v>4989</v>
      </c>
      <c r="D9" s="360" t="s">
        <v>4974</v>
      </c>
      <c r="E9" s="360" t="s">
        <v>4990</v>
      </c>
      <c r="F9" s="360" t="s">
        <v>4991</v>
      </c>
      <c r="G9" s="360" t="s">
        <v>4992</v>
      </c>
      <c r="H9" s="446" t="s">
        <v>4993</v>
      </c>
    </row>
    <row r="10" spans="1:8" x14ac:dyDescent="0.35">
      <c r="A10" s="445" t="s">
        <v>4994</v>
      </c>
      <c r="B10" s="360" t="s">
        <v>4995</v>
      </c>
      <c r="C10" s="360" t="s">
        <v>4996</v>
      </c>
      <c r="D10" s="360" t="s">
        <v>4997</v>
      </c>
      <c r="E10" s="360" t="s">
        <v>4998</v>
      </c>
      <c r="F10" s="360" t="s">
        <v>4999</v>
      </c>
      <c r="G10" s="360" t="s">
        <v>5000</v>
      </c>
      <c r="H10" s="446" t="s">
        <v>5001</v>
      </c>
    </row>
    <row r="11" spans="1:8" ht="15" thickBot="1" x14ac:dyDescent="0.4">
      <c r="A11" s="447" t="s">
        <v>4963</v>
      </c>
      <c r="B11" s="448" t="s">
        <v>4994</v>
      </c>
      <c r="C11" s="448" t="s">
        <v>5002</v>
      </c>
      <c r="D11" s="448" t="s">
        <v>5003</v>
      </c>
      <c r="E11" s="448" t="s">
        <v>4998</v>
      </c>
      <c r="F11" s="448" t="s">
        <v>4999</v>
      </c>
      <c r="G11" s="448" t="s">
        <v>5004</v>
      </c>
      <c r="H11" s="449" t="s">
        <v>5005</v>
      </c>
    </row>
    <row r="13" spans="1:8" ht="15.5" x14ac:dyDescent="0.35">
      <c r="A13" s="439" t="s">
        <v>5006</v>
      </c>
    </row>
    <row r="14" spans="1:8" x14ac:dyDescent="0.35">
      <c r="A14" s="442" t="s">
        <v>5007</v>
      </c>
      <c r="B14" s="443" t="s">
        <v>5008</v>
      </c>
      <c r="C14" s="443" t="s">
        <v>5009</v>
      </c>
      <c r="D14" s="443" t="s">
        <v>5010</v>
      </c>
      <c r="E14" s="443" t="s">
        <v>5011</v>
      </c>
      <c r="F14" s="443" t="s">
        <v>5012</v>
      </c>
      <c r="G14" s="443" t="s">
        <v>5013</v>
      </c>
      <c r="H14" s="444" t="s">
        <v>1469</v>
      </c>
    </row>
    <row r="15" spans="1:8" x14ac:dyDescent="0.35">
      <c r="A15" s="445" t="s">
        <v>5014</v>
      </c>
      <c r="B15" s="360" t="s">
        <v>5015</v>
      </c>
      <c r="C15" s="360" t="s">
        <v>5016</v>
      </c>
      <c r="D15" s="360" t="s">
        <v>5017</v>
      </c>
      <c r="E15" s="360" t="s">
        <v>5018</v>
      </c>
      <c r="F15" s="360" t="s">
        <v>5019</v>
      </c>
      <c r="G15" s="360" t="s">
        <v>5020</v>
      </c>
      <c r="H15" s="446" t="s">
        <v>5021</v>
      </c>
    </row>
    <row r="16" spans="1:8" x14ac:dyDescent="0.35">
      <c r="A16" s="445" t="s">
        <v>5022</v>
      </c>
      <c r="B16" s="360" t="s">
        <v>5023</v>
      </c>
      <c r="C16" s="360" t="s">
        <v>5024</v>
      </c>
      <c r="D16" s="360" t="s">
        <v>5025</v>
      </c>
      <c r="E16" s="360" t="s">
        <v>5026</v>
      </c>
      <c r="F16" s="360" t="s">
        <v>5027</v>
      </c>
      <c r="G16" s="360" t="s">
        <v>5028</v>
      </c>
      <c r="H16" s="446" t="s">
        <v>5029</v>
      </c>
    </row>
    <row r="17" spans="1:8" x14ac:dyDescent="0.35">
      <c r="A17" s="445" t="s">
        <v>5030</v>
      </c>
      <c r="B17" s="360" t="s">
        <v>5031</v>
      </c>
      <c r="C17" s="360" t="s">
        <v>5032</v>
      </c>
      <c r="D17" s="360" t="s">
        <v>5033</v>
      </c>
      <c r="E17" s="360" t="s">
        <v>5034</v>
      </c>
      <c r="F17" s="360" t="s">
        <v>5019</v>
      </c>
      <c r="G17" s="360" t="s">
        <v>5035</v>
      </c>
      <c r="H17" s="446" t="s">
        <v>5036</v>
      </c>
    </row>
    <row r="18" spans="1:8" x14ac:dyDescent="0.35">
      <c r="A18" s="445" t="s">
        <v>5037</v>
      </c>
      <c r="B18" s="360" t="s">
        <v>5038</v>
      </c>
      <c r="C18" s="360" t="s">
        <v>5039</v>
      </c>
      <c r="D18" s="360" t="s">
        <v>5033</v>
      </c>
      <c r="E18" s="360" t="s">
        <v>5040</v>
      </c>
      <c r="F18" s="360" t="s">
        <v>5019</v>
      </c>
      <c r="G18" s="360" t="s">
        <v>5041</v>
      </c>
      <c r="H18" s="446" t="s">
        <v>5042</v>
      </c>
    </row>
    <row r="19" spans="1:8" x14ac:dyDescent="0.35">
      <c r="A19" s="445" t="s">
        <v>5043</v>
      </c>
      <c r="B19" s="360" t="s">
        <v>5044</v>
      </c>
      <c r="C19" s="360" t="s">
        <v>5045</v>
      </c>
      <c r="D19" s="360" t="s">
        <v>1373</v>
      </c>
      <c r="E19" s="360" t="s">
        <v>5046</v>
      </c>
      <c r="F19" s="360" t="s">
        <v>5019</v>
      </c>
      <c r="G19" s="360" t="s">
        <v>5047</v>
      </c>
      <c r="H19" s="446" t="s">
        <v>5048</v>
      </c>
    </row>
    <row r="20" spans="1:8" ht="15" thickBot="1" x14ac:dyDescent="0.4">
      <c r="A20" s="447" t="s">
        <v>5049</v>
      </c>
      <c r="B20" s="448" t="s">
        <v>5050</v>
      </c>
      <c r="C20" s="448" t="s">
        <v>5051</v>
      </c>
      <c r="D20" s="448" t="s">
        <v>5052</v>
      </c>
      <c r="E20" s="448" t="s">
        <v>5053</v>
      </c>
      <c r="F20" s="448" t="s">
        <v>5054</v>
      </c>
      <c r="G20" s="448" t="s">
        <v>5055</v>
      </c>
      <c r="H20" s="449" t="s">
        <v>5056</v>
      </c>
    </row>
    <row r="22" spans="1:8" ht="15.5" x14ac:dyDescent="0.35">
      <c r="A22" s="439" t="s">
        <v>5057</v>
      </c>
    </row>
    <row r="23" spans="1:8" x14ac:dyDescent="0.35">
      <c r="A23" s="186" t="s">
        <v>5058</v>
      </c>
    </row>
    <row r="24" spans="1:8" x14ac:dyDescent="0.35">
      <c r="A24" s="450"/>
      <c r="B24" s="443" t="s">
        <v>3742</v>
      </c>
      <c r="C24" s="443" t="s">
        <v>1605</v>
      </c>
      <c r="D24" s="443" t="s">
        <v>1743</v>
      </c>
      <c r="E24" s="443" t="s">
        <v>878</v>
      </c>
      <c r="F24" s="443" t="s">
        <v>5059</v>
      </c>
      <c r="G24" s="443" t="s">
        <v>5060</v>
      </c>
      <c r="H24" s="444" t="s">
        <v>2100</v>
      </c>
    </row>
    <row r="25" spans="1:8" x14ac:dyDescent="0.35">
      <c r="A25" s="451" t="s">
        <v>3742</v>
      </c>
      <c r="B25" s="452" t="s">
        <v>5061</v>
      </c>
      <c r="C25" s="453" t="s">
        <v>5062</v>
      </c>
      <c r="D25" s="454" t="s">
        <v>5063</v>
      </c>
      <c r="E25" s="360" t="s">
        <v>5061</v>
      </c>
      <c r="F25" s="453" t="s">
        <v>5064</v>
      </c>
      <c r="G25" s="360" t="s">
        <v>5061</v>
      </c>
      <c r="H25" s="446" t="s">
        <v>5065</v>
      </c>
    </row>
    <row r="26" spans="1:8" x14ac:dyDescent="0.35">
      <c r="A26" s="451" t="s">
        <v>1605</v>
      </c>
      <c r="B26" s="453" t="s">
        <v>5062</v>
      </c>
      <c r="C26" s="452" t="s">
        <v>5061</v>
      </c>
      <c r="D26" s="360" t="s">
        <v>5061</v>
      </c>
      <c r="E26" s="455" t="s">
        <v>5066</v>
      </c>
      <c r="F26" s="360" t="s">
        <v>5061</v>
      </c>
      <c r="G26" s="454" t="s">
        <v>5067</v>
      </c>
      <c r="H26" s="446" t="s">
        <v>5068</v>
      </c>
    </row>
    <row r="27" spans="1:8" x14ac:dyDescent="0.35">
      <c r="A27" s="451" t="s">
        <v>1743</v>
      </c>
      <c r="B27" s="360" t="s">
        <v>5063</v>
      </c>
      <c r="C27" s="360" t="s">
        <v>5061</v>
      </c>
      <c r="D27" s="452" t="s">
        <v>5061</v>
      </c>
      <c r="E27" s="455" t="s">
        <v>5066</v>
      </c>
      <c r="F27" s="360" t="s">
        <v>5061</v>
      </c>
      <c r="G27" s="453" t="s">
        <v>5069</v>
      </c>
      <c r="H27" s="446" t="s">
        <v>5068</v>
      </c>
    </row>
    <row r="28" spans="1:8" ht="15" thickBot="1" x14ac:dyDescent="0.4">
      <c r="A28" s="456" t="s">
        <v>878</v>
      </c>
      <c r="B28" s="448" t="s">
        <v>5061</v>
      </c>
      <c r="C28" s="457" t="s">
        <v>5066</v>
      </c>
      <c r="D28" s="457" t="s">
        <v>5066</v>
      </c>
      <c r="E28" s="458" t="s">
        <v>5061</v>
      </c>
      <c r="F28" s="448" t="s">
        <v>5061</v>
      </c>
      <c r="G28" s="448" t="s">
        <v>5061</v>
      </c>
      <c r="H28" s="459" t="s">
        <v>5070</v>
      </c>
    </row>
    <row r="30" spans="1:8" x14ac:dyDescent="0.35">
      <c r="A30" s="386" t="s">
        <v>5071</v>
      </c>
    </row>
    <row r="31" spans="1:8" x14ac:dyDescent="0.35">
      <c r="A31" s="440" t="s">
        <v>5072</v>
      </c>
    </row>
    <row r="32" spans="1:8" x14ac:dyDescent="0.35">
      <c r="A32" s="441" t="s">
        <v>5073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B5E1E-7911-408F-ADC4-FB39964EF251}">
  <sheetPr>
    <tabColor rgb="FF1565C0"/>
  </sheetPr>
  <dimension ref="A1:G49"/>
  <sheetViews>
    <sheetView topLeftCell="A41" workbookViewId="0"/>
  </sheetViews>
  <sheetFormatPr defaultRowHeight="14.5" x14ac:dyDescent="0.35"/>
  <cols>
    <col min="1" max="1" width="36.36328125" customWidth="1"/>
    <col min="2" max="2" width="100.6328125" bestFit="1" customWidth="1"/>
    <col min="3" max="3" width="126.7265625" bestFit="1" customWidth="1"/>
    <col min="4" max="7" width="36.36328125" customWidth="1"/>
  </cols>
  <sheetData>
    <row r="1" spans="1:4" ht="18.5" x14ac:dyDescent="0.45">
      <c r="A1" s="361" t="s">
        <v>4045</v>
      </c>
    </row>
    <row r="2" spans="1:4" x14ac:dyDescent="0.35">
      <c r="A2" s="346" t="s">
        <v>4046</v>
      </c>
    </row>
    <row r="3" spans="1:4" x14ac:dyDescent="0.35">
      <c r="A3" s="357" t="s">
        <v>4047</v>
      </c>
      <c r="B3" s="357" t="s">
        <v>4048</v>
      </c>
      <c r="C3" t="s">
        <v>4049</v>
      </c>
    </row>
    <row r="5" spans="1:4" x14ac:dyDescent="0.35">
      <c r="A5" s="353" t="s">
        <v>4050</v>
      </c>
    </row>
    <row r="6" spans="1:4" x14ac:dyDescent="0.35">
      <c r="A6" t="s">
        <v>4051</v>
      </c>
    </row>
    <row r="8" spans="1:4" x14ac:dyDescent="0.35">
      <c r="A8" s="353" t="s">
        <v>4052</v>
      </c>
    </row>
    <row r="10" spans="1:4" x14ac:dyDescent="0.35">
      <c r="A10" s="352" t="s">
        <v>3221</v>
      </c>
      <c r="B10" s="350" t="s">
        <v>4053</v>
      </c>
      <c r="C10" s="362" t="s">
        <v>4054</v>
      </c>
      <c r="D10" s="352" t="s">
        <v>4055</v>
      </c>
    </row>
    <row r="11" spans="1:4" x14ac:dyDescent="0.35">
      <c r="A11" t="s">
        <v>4056</v>
      </c>
      <c r="B11" t="s">
        <v>4057</v>
      </c>
      <c r="C11" t="s">
        <v>4058</v>
      </c>
      <c r="D11" t="s">
        <v>4059</v>
      </c>
    </row>
    <row r="12" spans="1:4" x14ac:dyDescent="0.35">
      <c r="A12" t="s">
        <v>4060</v>
      </c>
      <c r="B12" t="s">
        <v>4061</v>
      </c>
      <c r="C12" t="s">
        <v>4062</v>
      </c>
      <c r="D12" t="s">
        <v>4063</v>
      </c>
    </row>
    <row r="13" spans="1:4" x14ac:dyDescent="0.35">
      <c r="A13" t="s">
        <v>4064</v>
      </c>
      <c r="B13" t="s">
        <v>4065</v>
      </c>
      <c r="C13" t="s">
        <v>4066</v>
      </c>
      <c r="D13" t="s">
        <v>4063</v>
      </c>
    </row>
    <row r="14" spans="1:4" x14ac:dyDescent="0.35">
      <c r="A14" t="s">
        <v>3139</v>
      </c>
      <c r="B14" t="s">
        <v>4067</v>
      </c>
      <c r="C14" t="s">
        <v>4068</v>
      </c>
      <c r="D14" t="s">
        <v>4059</v>
      </c>
    </row>
    <row r="15" spans="1:4" x14ac:dyDescent="0.35">
      <c r="A15" t="s">
        <v>4069</v>
      </c>
      <c r="B15" t="s">
        <v>4070</v>
      </c>
      <c r="C15" t="s">
        <v>4071</v>
      </c>
      <c r="D15" t="s">
        <v>4072</v>
      </c>
    </row>
    <row r="16" spans="1:4" x14ac:dyDescent="0.35">
      <c r="A16" t="s">
        <v>4073</v>
      </c>
      <c r="B16" t="s">
        <v>4074</v>
      </c>
      <c r="C16" t="s">
        <v>4075</v>
      </c>
      <c r="D16" t="s">
        <v>4059</v>
      </c>
    </row>
    <row r="17" spans="1:7" x14ac:dyDescent="0.35">
      <c r="A17" t="s">
        <v>4076</v>
      </c>
      <c r="B17" t="s">
        <v>4077</v>
      </c>
      <c r="C17" t="s">
        <v>4078</v>
      </c>
      <c r="D17" t="s">
        <v>4079</v>
      </c>
    </row>
    <row r="18" spans="1:7" x14ac:dyDescent="0.35">
      <c r="A18" t="s">
        <v>4080</v>
      </c>
      <c r="B18" t="s">
        <v>4081</v>
      </c>
      <c r="C18" t="s">
        <v>4082</v>
      </c>
      <c r="D18" t="s">
        <v>4083</v>
      </c>
    </row>
    <row r="19" spans="1:7" x14ac:dyDescent="0.35">
      <c r="A19" t="s">
        <v>4084</v>
      </c>
      <c r="B19" t="s">
        <v>4085</v>
      </c>
      <c r="C19" t="s">
        <v>4086</v>
      </c>
      <c r="D19" t="s">
        <v>4087</v>
      </c>
    </row>
    <row r="20" spans="1:7" x14ac:dyDescent="0.35">
      <c r="A20" t="s">
        <v>4088</v>
      </c>
      <c r="B20" t="s">
        <v>4089</v>
      </c>
      <c r="C20" t="s">
        <v>4090</v>
      </c>
      <c r="D20" t="s">
        <v>4087</v>
      </c>
    </row>
    <row r="21" spans="1:7" x14ac:dyDescent="0.35">
      <c r="A21" t="s">
        <v>4091</v>
      </c>
      <c r="B21" t="s">
        <v>4092</v>
      </c>
      <c r="C21" t="s">
        <v>4093</v>
      </c>
      <c r="D21" t="s">
        <v>4094</v>
      </c>
    </row>
    <row r="22" spans="1:7" x14ac:dyDescent="0.35">
      <c r="A22" t="s">
        <v>4095</v>
      </c>
      <c r="B22" t="s">
        <v>4096</v>
      </c>
      <c r="C22" t="s">
        <v>4097</v>
      </c>
      <c r="D22" t="s">
        <v>4098</v>
      </c>
    </row>
    <row r="23" spans="1:7" x14ac:dyDescent="0.35">
      <c r="A23" t="s">
        <v>4099</v>
      </c>
      <c r="B23" t="s">
        <v>4100</v>
      </c>
      <c r="C23" t="s">
        <v>4101</v>
      </c>
      <c r="D23" t="s">
        <v>4102</v>
      </c>
    </row>
    <row r="24" spans="1:7" x14ac:dyDescent="0.35">
      <c r="A24" t="s">
        <v>4103</v>
      </c>
      <c r="B24" t="s">
        <v>4104</v>
      </c>
      <c r="C24" t="s">
        <v>4105</v>
      </c>
      <c r="D24" t="s">
        <v>4106</v>
      </c>
    </row>
    <row r="26" spans="1:7" x14ac:dyDescent="0.35">
      <c r="A26" s="353" t="s">
        <v>4107</v>
      </c>
    </row>
    <row r="27" spans="1:7" x14ac:dyDescent="0.35">
      <c r="A27" s="352" t="s">
        <v>4108</v>
      </c>
      <c r="B27" s="352" t="s">
        <v>4109</v>
      </c>
      <c r="C27" s="350" t="s">
        <v>4110</v>
      </c>
      <c r="D27" s="362" t="s">
        <v>4111</v>
      </c>
      <c r="E27" s="350" t="s">
        <v>4112</v>
      </c>
      <c r="F27" s="362" t="s">
        <v>4113</v>
      </c>
      <c r="G27" s="352" t="s">
        <v>2605</v>
      </c>
    </row>
    <row r="28" spans="1:7" x14ac:dyDescent="0.35">
      <c r="A28" t="s">
        <v>4114</v>
      </c>
      <c r="B28">
        <v>0.25</v>
      </c>
      <c r="C28">
        <v>5</v>
      </c>
      <c r="D28">
        <v>1</v>
      </c>
      <c r="E28">
        <f t="shared" ref="E28:E34" si="0">B28*C28</f>
        <v>1.25</v>
      </c>
      <c r="F28">
        <f t="shared" ref="F28:F34" si="1">B28*D28</f>
        <v>0.25</v>
      </c>
      <c r="G28" t="s">
        <v>4115</v>
      </c>
    </row>
    <row r="29" spans="1:7" x14ac:dyDescent="0.35">
      <c r="A29" t="s">
        <v>4116</v>
      </c>
      <c r="B29">
        <v>0.15</v>
      </c>
      <c r="C29">
        <v>5</v>
      </c>
      <c r="D29">
        <v>3</v>
      </c>
      <c r="E29">
        <f t="shared" si="0"/>
        <v>0.75</v>
      </c>
      <c r="F29">
        <f t="shared" si="1"/>
        <v>0.44999999999999996</v>
      </c>
      <c r="G29" t="s">
        <v>4117</v>
      </c>
    </row>
    <row r="30" spans="1:7" x14ac:dyDescent="0.35">
      <c r="A30" t="s">
        <v>4088</v>
      </c>
      <c r="B30">
        <v>0.1</v>
      </c>
      <c r="C30">
        <v>5</v>
      </c>
      <c r="D30">
        <v>3</v>
      </c>
      <c r="E30">
        <f t="shared" si="0"/>
        <v>0.5</v>
      </c>
      <c r="F30">
        <f t="shared" si="1"/>
        <v>0.30000000000000004</v>
      </c>
      <c r="G30" t="s">
        <v>4118</v>
      </c>
    </row>
    <row r="31" spans="1:7" x14ac:dyDescent="0.35">
      <c r="A31" t="s">
        <v>4119</v>
      </c>
      <c r="B31">
        <v>0.15</v>
      </c>
      <c r="C31">
        <v>5</v>
      </c>
      <c r="D31">
        <v>3</v>
      </c>
      <c r="E31">
        <f t="shared" si="0"/>
        <v>0.75</v>
      </c>
      <c r="F31">
        <f t="shared" si="1"/>
        <v>0.44999999999999996</v>
      </c>
      <c r="G31" t="s">
        <v>4120</v>
      </c>
    </row>
    <row r="32" spans="1:7" x14ac:dyDescent="0.35">
      <c r="A32" t="s">
        <v>4121</v>
      </c>
      <c r="B32">
        <v>0.15</v>
      </c>
      <c r="C32">
        <v>4</v>
      </c>
      <c r="D32">
        <v>3</v>
      </c>
      <c r="E32">
        <f t="shared" si="0"/>
        <v>0.6</v>
      </c>
      <c r="F32">
        <f t="shared" si="1"/>
        <v>0.44999999999999996</v>
      </c>
      <c r="G32" t="s">
        <v>4122</v>
      </c>
    </row>
    <row r="33" spans="1:7" x14ac:dyDescent="0.35">
      <c r="A33" t="s">
        <v>4123</v>
      </c>
      <c r="B33">
        <v>0.1</v>
      </c>
      <c r="C33">
        <v>5</v>
      </c>
      <c r="D33">
        <v>1</v>
      </c>
      <c r="E33">
        <f t="shared" si="0"/>
        <v>0.5</v>
      </c>
      <c r="F33">
        <f t="shared" si="1"/>
        <v>0.1</v>
      </c>
      <c r="G33" t="s">
        <v>4124</v>
      </c>
    </row>
    <row r="34" spans="1:7" x14ac:dyDescent="0.35">
      <c r="A34" t="s">
        <v>4125</v>
      </c>
      <c r="B34">
        <v>0.1</v>
      </c>
      <c r="C34">
        <v>3</v>
      </c>
      <c r="D34">
        <v>4</v>
      </c>
      <c r="E34">
        <f t="shared" si="0"/>
        <v>0.30000000000000004</v>
      </c>
      <c r="F34">
        <f t="shared" si="1"/>
        <v>0.4</v>
      </c>
      <c r="G34" t="s">
        <v>4126</v>
      </c>
    </row>
    <row r="35" spans="1:7" x14ac:dyDescent="0.35">
      <c r="A35" s="188" t="s">
        <v>4127</v>
      </c>
      <c r="B35" s="188">
        <f>SUM(B28:B34)</f>
        <v>1</v>
      </c>
      <c r="C35" s="363">
        <f>SUMPRODUCT(B28:B34,C28:C34)/SUM(B28:B34)</f>
        <v>4.6499999999999995</v>
      </c>
      <c r="D35" s="364">
        <f>SUMPRODUCT(B28:B34,D28:D34)/SUM(B28:B34)</f>
        <v>2.4</v>
      </c>
      <c r="E35" s="365">
        <f>SUM(E28:E34)</f>
        <v>4.6499999999999995</v>
      </c>
      <c r="F35" s="366">
        <f>SUM(F28:F34)</f>
        <v>2.4</v>
      </c>
    </row>
    <row r="37" spans="1:7" x14ac:dyDescent="0.35">
      <c r="A37" s="353" t="s">
        <v>4128</v>
      </c>
    </row>
    <row r="38" spans="1:7" x14ac:dyDescent="0.35">
      <c r="A38" t="s">
        <v>4129</v>
      </c>
    </row>
    <row r="39" spans="1:7" x14ac:dyDescent="0.35">
      <c r="A39" s="358" t="s">
        <v>4130</v>
      </c>
    </row>
    <row r="41" spans="1:7" x14ac:dyDescent="0.35">
      <c r="A41" s="353" t="s">
        <v>4131</v>
      </c>
    </row>
    <row r="42" spans="1:7" x14ac:dyDescent="0.35">
      <c r="A42" s="359" t="s">
        <v>4132</v>
      </c>
    </row>
    <row r="43" spans="1:7" x14ac:dyDescent="0.35">
      <c r="A43" s="359" t="s">
        <v>4133</v>
      </c>
    </row>
    <row r="44" spans="1:7" x14ac:dyDescent="0.35">
      <c r="A44" s="359" t="s">
        <v>4134</v>
      </c>
    </row>
    <row r="46" spans="1:7" x14ac:dyDescent="0.35">
      <c r="A46" s="367" t="s">
        <v>4135</v>
      </c>
    </row>
    <row r="47" spans="1:7" x14ac:dyDescent="0.35">
      <c r="A47" s="359" t="s">
        <v>4136</v>
      </c>
    </row>
    <row r="48" spans="1:7" x14ac:dyDescent="0.35">
      <c r="A48" s="359" t="s">
        <v>4137</v>
      </c>
    </row>
    <row r="49" spans="1:1" x14ac:dyDescent="0.35">
      <c r="A49" s="359" t="s">
        <v>4138</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565C0"/>
  </sheetPr>
  <dimension ref="B1:G20"/>
  <sheetViews>
    <sheetView zoomScale="97" zoomScaleNormal="100" workbookViewId="0">
      <selection activeCell="E32" sqref="E32"/>
    </sheetView>
  </sheetViews>
  <sheetFormatPr defaultColWidth="8.54296875" defaultRowHeight="14.5" x14ac:dyDescent="0.35"/>
  <cols>
    <col min="1" max="1" width="4" customWidth="1"/>
    <col min="2" max="2" width="14" customWidth="1"/>
    <col min="3" max="3" width="26" customWidth="1"/>
    <col min="4" max="4" width="30" customWidth="1"/>
    <col min="5" max="5" width="38.453125" bestFit="1" customWidth="1"/>
    <col min="6" max="6" width="20.81640625" bestFit="1" customWidth="1"/>
  </cols>
  <sheetData>
    <row r="1" spans="2:7" ht="30" customHeight="1" x14ac:dyDescent="0.35">
      <c r="B1" s="487" t="s">
        <v>2617</v>
      </c>
      <c r="C1" s="487"/>
      <c r="D1" s="487"/>
      <c r="E1" s="487"/>
      <c r="F1" s="487"/>
    </row>
    <row r="3" spans="2:7" ht="15" customHeight="1" x14ac:dyDescent="0.35">
      <c r="B3" s="15" t="s">
        <v>2489</v>
      </c>
      <c r="C3" s="15" t="s">
        <v>2618</v>
      </c>
      <c r="D3" s="15" t="s">
        <v>2619</v>
      </c>
      <c r="E3" s="15" t="s">
        <v>2620</v>
      </c>
      <c r="F3" s="15" t="s">
        <v>2621</v>
      </c>
      <c r="G3" s="15" t="s">
        <v>2622</v>
      </c>
    </row>
    <row r="4" spans="2:7" ht="27.75" customHeight="1" x14ac:dyDescent="0.35">
      <c r="B4" s="46" t="s">
        <v>317</v>
      </c>
      <c r="C4" t="s">
        <v>2623</v>
      </c>
      <c r="D4" s="1" t="s">
        <v>2624</v>
      </c>
      <c r="E4" s="2" t="s">
        <v>2625</v>
      </c>
      <c r="F4" s="2" t="s">
        <v>2626</v>
      </c>
      <c r="G4" s="47">
        <v>0.4</v>
      </c>
    </row>
    <row r="5" spans="2:7" ht="27.75" customHeight="1" x14ac:dyDescent="0.35">
      <c r="B5" s="46" t="s">
        <v>317</v>
      </c>
      <c r="C5" t="s">
        <v>2623</v>
      </c>
      <c r="D5" s="1" t="s">
        <v>2627</v>
      </c>
      <c r="E5" s="2" t="s">
        <v>2628</v>
      </c>
      <c r="F5" s="2" t="s">
        <v>2629</v>
      </c>
      <c r="G5" s="47">
        <v>0.35</v>
      </c>
    </row>
    <row r="6" spans="2:7" ht="27.75" customHeight="1" x14ac:dyDescent="0.35">
      <c r="B6" s="46" t="s">
        <v>318</v>
      </c>
      <c r="C6" t="s">
        <v>2630</v>
      </c>
      <c r="D6" s="1" t="s">
        <v>2631</v>
      </c>
      <c r="E6" s="2" t="s">
        <v>2632</v>
      </c>
      <c r="F6" s="2" t="s">
        <v>2633</v>
      </c>
      <c r="G6" s="47">
        <v>0.25</v>
      </c>
    </row>
    <row r="7" spans="2:7" ht="27.75" customHeight="1" x14ac:dyDescent="0.35">
      <c r="B7" s="46" t="s">
        <v>319</v>
      </c>
      <c r="C7" t="s">
        <v>2634</v>
      </c>
      <c r="D7" s="1" t="s">
        <v>2635</v>
      </c>
      <c r="E7" s="2" t="s">
        <v>2636</v>
      </c>
      <c r="F7" s="2" t="s">
        <v>2637</v>
      </c>
      <c r="G7" s="47">
        <v>0.2</v>
      </c>
    </row>
    <row r="8" spans="2:7" ht="27.75" customHeight="1" x14ac:dyDescent="0.35">
      <c r="B8" s="46" t="s">
        <v>2638</v>
      </c>
      <c r="C8" t="s">
        <v>2124</v>
      </c>
      <c r="D8" s="1" t="s">
        <v>2639</v>
      </c>
      <c r="E8" s="2" t="s">
        <v>2640</v>
      </c>
      <c r="F8" s="2" t="s">
        <v>2641</v>
      </c>
      <c r="G8" s="47">
        <v>1</v>
      </c>
    </row>
    <row r="9" spans="2:7" ht="27.75" customHeight="1" x14ac:dyDescent="0.35">
      <c r="B9" s="46" t="s">
        <v>2642</v>
      </c>
      <c r="C9" t="s">
        <v>2100</v>
      </c>
      <c r="D9" s="1" t="s">
        <v>2643</v>
      </c>
      <c r="E9" s="2" t="s">
        <v>2644</v>
      </c>
      <c r="F9" s="2" t="s">
        <v>2645</v>
      </c>
      <c r="G9" s="47">
        <v>0</v>
      </c>
    </row>
    <row r="10" spans="2:7" ht="27.75" customHeight="1" x14ac:dyDescent="0.35">
      <c r="B10" s="46" t="s">
        <v>2646</v>
      </c>
      <c r="C10" t="s">
        <v>2647</v>
      </c>
      <c r="D10" s="1" t="s">
        <v>2648</v>
      </c>
      <c r="E10" s="2" t="s">
        <v>2649</v>
      </c>
      <c r="F10" s="2" t="s">
        <v>2650</v>
      </c>
      <c r="G10" s="47">
        <v>1</v>
      </c>
    </row>
    <row r="11" spans="2:7" ht="27.75" customHeight="1" x14ac:dyDescent="0.35">
      <c r="B11" s="46" t="s">
        <v>2651</v>
      </c>
      <c r="C11" t="s">
        <v>2652</v>
      </c>
      <c r="D11" s="1" t="s">
        <v>2653</v>
      </c>
      <c r="E11" s="2" t="s">
        <v>2654</v>
      </c>
      <c r="F11" s="2" t="s">
        <v>2655</v>
      </c>
      <c r="G11" s="47">
        <v>1</v>
      </c>
    </row>
    <row r="14" spans="2:7" ht="15" customHeight="1" x14ac:dyDescent="0.35">
      <c r="B14" s="485" t="s">
        <v>2656</v>
      </c>
      <c r="C14" s="485"/>
      <c r="D14" s="485"/>
      <c r="E14" s="485"/>
      <c r="F14" s="485"/>
    </row>
    <row r="15" spans="2:7" ht="15" customHeight="1" x14ac:dyDescent="0.35">
      <c r="B15" s="15" t="s">
        <v>2430</v>
      </c>
      <c r="C15" s="15" t="s">
        <v>2657</v>
      </c>
    </row>
    <row r="16" spans="2:7" ht="15" customHeight="1" x14ac:dyDescent="0.35">
      <c r="B16" s="27" t="s">
        <v>12</v>
      </c>
      <c r="C16" s="549" t="s">
        <v>2658</v>
      </c>
      <c r="D16" s="549"/>
      <c r="E16" s="549"/>
      <c r="F16" s="549"/>
    </row>
    <row r="17" spans="2:6" ht="15" customHeight="1" x14ac:dyDescent="0.35">
      <c r="B17" s="27" t="s">
        <v>13</v>
      </c>
      <c r="C17" s="549" t="s">
        <v>2659</v>
      </c>
      <c r="D17" s="549"/>
      <c r="E17" s="549"/>
      <c r="F17" s="549"/>
    </row>
    <row r="18" spans="2:6" ht="15" customHeight="1" x14ac:dyDescent="0.35">
      <c r="B18" s="27" t="s">
        <v>14</v>
      </c>
      <c r="C18" s="549" t="s">
        <v>2660</v>
      </c>
      <c r="D18" s="549"/>
      <c r="E18" s="549"/>
      <c r="F18" s="549"/>
    </row>
    <row r="19" spans="2:6" ht="15" customHeight="1" x14ac:dyDescent="0.35">
      <c r="B19" s="27" t="s">
        <v>15</v>
      </c>
      <c r="C19" s="549" t="s">
        <v>2661</v>
      </c>
      <c r="D19" s="549"/>
      <c r="E19" s="549"/>
      <c r="F19" s="549"/>
    </row>
    <row r="20" spans="2:6" ht="15" customHeight="1" x14ac:dyDescent="0.35">
      <c r="B20" s="27" t="s">
        <v>16</v>
      </c>
      <c r="C20" s="549" t="s">
        <v>2662</v>
      </c>
      <c r="D20" s="549"/>
      <c r="E20" s="549"/>
      <c r="F20" s="549"/>
    </row>
  </sheetData>
  <mergeCells count="7">
    <mergeCell ref="C19:F19"/>
    <mergeCell ref="C20:F20"/>
    <mergeCell ref="B1:F1"/>
    <mergeCell ref="B14:F14"/>
    <mergeCell ref="C16:F16"/>
    <mergeCell ref="C17:F17"/>
    <mergeCell ref="C18:F18"/>
  </mergeCells>
  <pageMargins left="0.75" right="0.75" top="1" bottom="1"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C16BD-0E0A-44F3-A69C-D898CD3DC84B}">
  <sheetPr>
    <tabColor rgb="FF1565C0"/>
  </sheetPr>
  <dimension ref="A1:I32"/>
  <sheetViews>
    <sheetView workbookViewId="0">
      <selection activeCell="D15" sqref="D15"/>
    </sheetView>
  </sheetViews>
  <sheetFormatPr defaultRowHeight="14.5" x14ac:dyDescent="0.35"/>
  <cols>
    <col min="1" max="3" width="32.7265625" customWidth="1"/>
    <col min="4" max="4" width="98.36328125" bestFit="1" customWidth="1"/>
    <col min="5" max="9" width="32.7265625" customWidth="1"/>
  </cols>
  <sheetData>
    <row r="1" spans="1:9" ht="18.5" x14ac:dyDescent="0.45">
      <c r="A1" s="371" t="s">
        <v>4287</v>
      </c>
    </row>
    <row r="2" spans="1:9" x14ac:dyDescent="0.35">
      <c r="A2" s="346" t="s">
        <v>4288</v>
      </c>
    </row>
    <row r="3" spans="1:9" x14ac:dyDescent="0.35">
      <c r="A3" s="357" t="s">
        <v>4289</v>
      </c>
    </row>
    <row r="5" spans="1:9" x14ac:dyDescent="0.35">
      <c r="A5" s="372" t="s">
        <v>4290</v>
      </c>
      <c r="B5" s="372" t="s">
        <v>4291</v>
      </c>
      <c r="C5" s="372" t="s">
        <v>1865</v>
      </c>
      <c r="D5" s="372" t="s">
        <v>4292</v>
      </c>
      <c r="E5" s="372" t="s">
        <v>2605</v>
      </c>
      <c r="F5" s="372" t="s">
        <v>4293</v>
      </c>
      <c r="G5" s="372" t="s">
        <v>4294</v>
      </c>
      <c r="H5" s="372" t="s">
        <v>4295</v>
      </c>
      <c r="I5" s="372" t="s">
        <v>1487</v>
      </c>
    </row>
    <row r="6" spans="1:9" x14ac:dyDescent="0.35">
      <c r="A6" t="s">
        <v>4296</v>
      </c>
      <c r="B6" t="s">
        <v>4297</v>
      </c>
      <c r="C6" t="s">
        <v>4298</v>
      </c>
      <c r="D6" t="s">
        <v>4299</v>
      </c>
      <c r="E6" t="s">
        <v>4300</v>
      </c>
      <c r="F6" t="s">
        <v>4301</v>
      </c>
      <c r="G6" t="s">
        <v>4302</v>
      </c>
      <c r="H6" t="s">
        <v>4303</v>
      </c>
      <c r="I6" t="s">
        <v>3133</v>
      </c>
    </row>
    <row r="7" spans="1:9" x14ac:dyDescent="0.35">
      <c r="A7" t="s">
        <v>4304</v>
      </c>
      <c r="B7" t="s">
        <v>4297</v>
      </c>
      <c r="C7" t="s">
        <v>4298</v>
      </c>
      <c r="D7" t="s">
        <v>4305</v>
      </c>
      <c r="E7" t="s">
        <v>4306</v>
      </c>
      <c r="F7" t="s">
        <v>4307</v>
      </c>
      <c r="G7" t="s">
        <v>4308</v>
      </c>
      <c r="H7" t="s">
        <v>4309</v>
      </c>
      <c r="I7" t="s">
        <v>3133</v>
      </c>
    </row>
    <row r="8" spans="1:9" x14ac:dyDescent="0.35">
      <c r="A8" t="s">
        <v>4310</v>
      </c>
      <c r="B8" t="s">
        <v>4297</v>
      </c>
      <c r="C8" t="s">
        <v>4298</v>
      </c>
      <c r="D8" t="s">
        <v>4311</v>
      </c>
      <c r="E8" t="s">
        <v>4312</v>
      </c>
      <c r="F8" t="s">
        <v>4313</v>
      </c>
      <c r="G8" t="s">
        <v>4314</v>
      </c>
      <c r="H8" t="s">
        <v>4315</v>
      </c>
      <c r="I8" t="s">
        <v>4316</v>
      </c>
    </row>
    <row r="9" spans="1:9" x14ac:dyDescent="0.35">
      <c r="A9" t="s">
        <v>4317</v>
      </c>
      <c r="B9" t="s">
        <v>4297</v>
      </c>
      <c r="C9" t="s">
        <v>4298</v>
      </c>
      <c r="D9" t="s">
        <v>4318</v>
      </c>
      <c r="E9" t="s">
        <v>4319</v>
      </c>
      <c r="F9" t="s">
        <v>4320</v>
      </c>
      <c r="G9" t="s">
        <v>4321</v>
      </c>
      <c r="H9" t="s">
        <v>329</v>
      </c>
      <c r="I9" t="s">
        <v>3145</v>
      </c>
    </row>
    <row r="10" spans="1:9" x14ac:dyDescent="0.35">
      <c r="A10" t="s">
        <v>4322</v>
      </c>
      <c r="B10" t="s">
        <v>317</v>
      </c>
      <c r="C10" t="s">
        <v>3249</v>
      </c>
      <c r="D10" t="s">
        <v>4323</v>
      </c>
      <c r="E10" t="s">
        <v>4324</v>
      </c>
      <c r="F10" t="s">
        <v>4325</v>
      </c>
      <c r="G10" t="s">
        <v>4326</v>
      </c>
      <c r="H10" t="s">
        <v>4327</v>
      </c>
      <c r="I10" t="s">
        <v>4328</v>
      </c>
    </row>
    <row r="11" spans="1:9" x14ac:dyDescent="0.35">
      <c r="A11" t="s">
        <v>4329</v>
      </c>
      <c r="B11" t="s">
        <v>317</v>
      </c>
      <c r="C11" t="s">
        <v>3249</v>
      </c>
      <c r="D11" t="s">
        <v>4330</v>
      </c>
      <c r="E11" t="s">
        <v>4331</v>
      </c>
      <c r="F11" t="s">
        <v>4332</v>
      </c>
      <c r="G11" t="s">
        <v>4333</v>
      </c>
      <c r="H11" t="s">
        <v>329</v>
      </c>
      <c r="I11" t="s">
        <v>4334</v>
      </c>
    </row>
    <row r="12" spans="1:9" x14ac:dyDescent="0.35">
      <c r="A12" t="s">
        <v>4335</v>
      </c>
      <c r="B12" t="s">
        <v>317</v>
      </c>
      <c r="C12" t="s">
        <v>3249</v>
      </c>
      <c r="D12" t="s">
        <v>4336</v>
      </c>
      <c r="E12" t="s">
        <v>4337</v>
      </c>
      <c r="F12" t="s">
        <v>4338</v>
      </c>
      <c r="G12" t="s">
        <v>4339</v>
      </c>
      <c r="H12" t="s">
        <v>4340</v>
      </c>
      <c r="I12" t="s">
        <v>4341</v>
      </c>
    </row>
    <row r="13" spans="1:9" x14ac:dyDescent="0.35">
      <c r="A13" t="s">
        <v>4342</v>
      </c>
      <c r="B13" t="s">
        <v>317</v>
      </c>
      <c r="C13" t="s">
        <v>3249</v>
      </c>
      <c r="D13" t="s">
        <v>4343</v>
      </c>
      <c r="E13" t="s">
        <v>4344</v>
      </c>
      <c r="F13" t="s">
        <v>4345</v>
      </c>
      <c r="G13" t="s">
        <v>4346</v>
      </c>
      <c r="H13" t="s">
        <v>4347</v>
      </c>
      <c r="I13" t="s">
        <v>4348</v>
      </c>
    </row>
    <row r="14" spans="1:9" x14ac:dyDescent="0.35">
      <c r="A14" t="s">
        <v>4349</v>
      </c>
      <c r="B14" t="s">
        <v>317</v>
      </c>
      <c r="C14" t="s">
        <v>3249</v>
      </c>
      <c r="D14" t="s">
        <v>4350</v>
      </c>
      <c r="E14" t="s">
        <v>4351</v>
      </c>
      <c r="F14" t="s">
        <v>4352</v>
      </c>
      <c r="G14" t="s">
        <v>4353</v>
      </c>
      <c r="H14" t="s">
        <v>329</v>
      </c>
      <c r="I14" t="s">
        <v>4354</v>
      </c>
    </row>
    <row r="15" spans="1:9" x14ac:dyDescent="0.35">
      <c r="A15" t="s">
        <v>4355</v>
      </c>
      <c r="B15" t="s">
        <v>317</v>
      </c>
      <c r="C15" t="s">
        <v>3249</v>
      </c>
      <c r="D15" t="s">
        <v>4356</v>
      </c>
      <c r="E15" t="s">
        <v>4357</v>
      </c>
      <c r="F15" t="s">
        <v>4358</v>
      </c>
      <c r="G15" t="s">
        <v>4359</v>
      </c>
      <c r="H15" t="s">
        <v>329</v>
      </c>
      <c r="I15" t="s">
        <v>4360</v>
      </c>
    </row>
    <row r="16" spans="1:9" x14ac:dyDescent="0.35">
      <c r="A16" t="s">
        <v>4361</v>
      </c>
      <c r="B16" t="s">
        <v>317</v>
      </c>
      <c r="C16" t="s">
        <v>3249</v>
      </c>
      <c r="D16" t="s">
        <v>4362</v>
      </c>
      <c r="E16" t="s">
        <v>4363</v>
      </c>
      <c r="F16" t="s">
        <v>4364</v>
      </c>
      <c r="G16" t="s">
        <v>4365</v>
      </c>
      <c r="H16" t="s">
        <v>329</v>
      </c>
      <c r="I16" t="s">
        <v>4366</v>
      </c>
    </row>
    <row r="17" spans="1:9" x14ac:dyDescent="0.35">
      <c r="A17" t="s">
        <v>4367</v>
      </c>
      <c r="B17" t="s">
        <v>317</v>
      </c>
      <c r="C17" t="s">
        <v>3249</v>
      </c>
      <c r="D17" t="s">
        <v>4368</v>
      </c>
      <c r="E17" t="s">
        <v>4369</v>
      </c>
      <c r="F17" t="s">
        <v>4370</v>
      </c>
      <c r="G17" t="s">
        <v>4371</v>
      </c>
      <c r="H17" t="s">
        <v>329</v>
      </c>
      <c r="I17" t="s">
        <v>4372</v>
      </c>
    </row>
    <row r="18" spans="1:9" x14ac:dyDescent="0.35">
      <c r="A18" t="s">
        <v>4373</v>
      </c>
      <c r="B18" t="s">
        <v>317</v>
      </c>
      <c r="C18" t="s">
        <v>3665</v>
      </c>
      <c r="D18" t="s">
        <v>4374</v>
      </c>
      <c r="E18" t="s">
        <v>4375</v>
      </c>
      <c r="F18" t="s">
        <v>4376</v>
      </c>
      <c r="G18" t="s">
        <v>4377</v>
      </c>
      <c r="H18" t="s">
        <v>329</v>
      </c>
      <c r="I18" t="s">
        <v>3133</v>
      </c>
    </row>
    <row r="19" spans="1:9" x14ac:dyDescent="0.35">
      <c r="A19" t="s">
        <v>4378</v>
      </c>
      <c r="B19" t="s">
        <v>317</v>
      </c>
      <c r="C19" t="s">
        <v>3665</v>
      </c>
      <c r="D19" t="s">
        <v>4379</v>
      </c>
      <c r="E19" t="s">
        <v>4380</v>
      </c>
      <c r="F19" t="s">
        <v>4381</v>
      </c>
      <c r="G19" t="s">
        <v>4382</v>
      </c>
      <c r="H19" t="s">
        <v>4383</v>
      </c>
      <c r="I19" t="s">
        <v>3133</v>
      </c>
    </row>
    <row r="20" spans="1:9" x14ac:dyDescent="0.35">
      <c r="A20" t="s">
        <v>4384</v>
      </c>
      <c r="B20" t="s">
        <v>317</v>
      </c>
      <c r="C20" t="s">
        <v>3665</v>
      </c>
      <c r="D20" t="s">
        <v>4385</v>
      </c>
      <c r="E20" t="s">
        <v>4386</v>
      </c>
      <c r="F20" t="s">
        <v>4387</v>
      </c>
      <c r="G20" t="s">
        <v>4388</v>
      </c>
      <c r="H20" t="s">
        <v>329</v>
      </c>
      <c r="I20" t="s">
        <v>4389</v>
      </c>
    </row>
    <row r="21" spans="1:9" x14ac:dyDescent="0.35">
      <c r="A21" t="s">
        <v>4390</v>
      </c>
      <c r="B21" t="s">
        <v>317</v>
      </c>
      <c r="C21" t="s">
        <v>3664</v>
      </c>
      <c r="D21" t="s">
        <v>4391</v>
      </c>
      <c r="E21" t="s">
        <v>4392</v>
      </c>
      <c r="F21" t="s">
        <v>4393</v>
      </c>
      <c r="G21" t="s">
        <v>4394</v>
      </c>
      <c r="H21" t="s">
        <v>4395</v>
      </c>
      <c r="I21" t="s">
        <v>4396</v>
      </c>
    </row>
    <row r="22" spans="1:9" x14ac:dyDescent="0.35">
      <c r="A22" t="s">
        <v>4397</v>
      </c>
      <c r="B22" t="s">
        <v>317</v>
      </c>
      <c r="C22" t="s">
        <v>3664</v>
      </c>
      <c r="D22" t="s">
        <v>4398</v>
      </c>
      <c r="E22" t="s">
        <v>4399</v>
      </c>
      <c r="F22" t="s">
        <v>4400</v>
      </c>
      <c r="G22" t="s">
        <v>4401</v>
      </c>
      <c r="H22" t="s">
        <v>329</v>
      </c>
      <c r="I22" t="s">
        <v>4402</v>
      </c>
    </row>
    <row r="23" spans="1:9" x14ac:dyDescent="0.35">
      <c r="A23" t="s">
        <v>4403</v>
      </c>
      <c r="B23" t="s">
        <v>317</v>
      </c>
      <c r="C23" t="s">
        <v>3664</v>
      </c>
      <c r="D23" t="s">
        <v>4404</v>
      </c>
      <c r="E23" t="s">
        <v>4405</v>
      </c>
      <c r="F23" t="s">
        <v>4406</v>
      </c>
      <c r="G23" t="s">
        <v>4407</v>
      </c>
      <c r="H23" t="s">
        <v>329</v>
      </c>
      <c r="I23" t="s">
        <v>4354</v>
      </c>
    </row>
    <row r="24" spans="1:9" x14ac:dyDescent="0.35">
      <c r="A24" t="s">
        <v>4408</v>
      </c>
      <c r="B24" t="s">
        <v>317</v>
      </c>
      <c r="C24" t="s">
        <v>3664</v>
      </c>
      <c r="D24" t="s">
        <v>4409</v>
      </c>
      <c r="E24" t="s">
        <v>4410</v>
      </c>
      <c r="F24" t="s">
        <v>4411</v>
      </c>
      <c r="G24" t="s">
        <v>4412</v>
      </c>
      <c r="H24" t="s">
        <v>329</v>
      </c>
      <c r="I24" t="s">
        <v>4413</v>
      </c>
    </row>
    <row r="25" spans="1:9" x14ac:dyDescent="0.35">
      <c r="A25" t="s">
        <v>4414</v>
      </c>
      <c r="B25" t="s">
        <v>317</v>
      </c>
      <c r="C25" t="s">
        <v>4415</v>
      </c>
      <c r="D25" t="s">
        <v>4416</v>
      </c>
      <c r="E25" t="s">
        <v>4417</v>
      </c>
      <c r="F25" t="s">
        <v>4418</v>
      </c>
      <c r="G25" t="s">
        <v>4419</v>
      </c>
      <c r="H25" t="s">
        <v>4420</v>
      </c>
      <c r="I25" t="s">
        <v>4421</v>
      </c>
    </row>
    <row r="26" spans="1:9" x14ac:dyDescent="0.35">
      <c r="A26" t="s">
        <v>4422</v>
      </c>
      <c r="B26" t="s">
        <v>317</v>
      </c>
      <c r="C26" t="s">
        <v>4415</v>
      </c>
      <c r="D26" t="s">
        <v>4423</v>
      </c>
      <c r="E26" t="s">
        <v>4424</v>
      </c>
      <c r="F26" t="s">
        <v>4425</v>
      </c>
      <c r="G26" t="s">
        <v>4419</v>
      </c>
      <c r="H26" t="s">
        <v>4420</v>
      </c>
      <c r="I26" t="s">
        <v>3133</v>
      </c>
    </row>
    <row r="28" spans="1:9" x14ac:dyDescent="0.35">
      <c r="A28" s="373" t="s">
        <v>4426</v>
      </c>
    </row>
    <row r="29" spans="1:9" x14ac:dyDescent="0.35">
      <c r="A29" t="str">
        <f>"Total requirements: "&amp;COUNTA(A6:A26)</f>
        <v>Total requirements: 21</v>
      </c>
    </row>
    <row r="30" spans="1:9" x14ac:dyDescent="0.35">
      <c r="A30" t="s">
        <v>4427</v>
      </c>
    </row>
    <row r="31" spans="1:9" x14ac:dyDescent="0.35">
      <c r="A31" t="s">
        <v>4428</v>
      </c>
    </row>
    <row r="32" spans="1:9" x14ac:dyDescent="0.35">
      <c r="A32" s="370" t="s">
        <v>4429</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504D9-BE3F-49F2-835C-7E728BD3F58B}">
  <sheetPr>
    <tabColor rgb="FF1565C0"/>
  </sheetPr>
  <dimension ref="A1:F42"/>
  <sheetViews>
    <sheetView topLeftCell="A11" workbookViewId="0">
      <selection sqref="A1:E1"/>
    </sheetView>
  </sheetViews>
  <sheetFormatPr defaultRowHeight="14.5" x14ac:dyDescent="0.35"/>
  <cols>
    <col min="1" max="6" width="36.36328125" customWidth="1"/>
  </cols>
  <sheetData>
    <row r="1" spans="1:5" ht="18.5" x14ac:dyDescent="0.45">
      <c r="A1" s="565" t="s">
        <v>4430</v>
      </c>
      <c r="B1" s="565"/>
      <c r="C1" s="565"/>
      <c r="D1" s="565"/>
      <c r="E1" s="565"/>
    </row>
    <row r="2" spans="1:5" x14ac:dyDescent="0.35">
      <c r="A2" s="346" t="s">
        <v>4431</v>
      </c>
    </row>
    <row r="3" spans="1:5" x14ac:dyDescent="0.35">
      <c r="A3" s="357" t="s">
        <v>4432</v>
      </c>
    </row>
    <row r="5" spans="1:5" x14ac:dyDescent="0.35">
      <c r="A5" s="374" t="s">
        <v>4433</v>
      </c>
    </row>
    <row r="6" spans="1:5" x14ac:dyDescent="0.35">
      <c r="A6" t="s">
        <v>4434</v>
      </c>
    </row>
    <row r="7" spans="1:5" x14ac:dyDescent="0.35">
      <c r="A7" s="375" t="s">
        <v>4435</v>
      </c>
    </row>
    <row r="9" spans="1:5" x14ac:dyDescent="0.35">
      <c r="A9" s="374" t="s">
        <v>4436</v>
      </c>
    </row>
    <row r="11" spans="1:5" x14ac:dyDescent="0.35">
      <c r="A11" s="376" t="s">
        <v>3221</v>
      </c>
      <c r="B11" s="376" t="s">
        <v>4292</v>
      </c>
      <c r="C11" s="376" t="s">
        <v>2605</v>
      </c>
      <c r="D11" s="376" t="s">
        <v>1487</v>
      </c>
    </row>
    <row r="12" spans="1:5" x14ac:dyDescent="0.35">
      <c r="A12" t="s">
        <v>4437</v>
      </c>
      <c r="B12" t="s">
        <v>4438</v>
      </c>
      <c r="C12" t="s">
        <v>4439</v>
      </c>
      <c r="D12" t="s">
        <v>3133</v>
      </c>
    </row>
    <row r="13" spans="1:5" x14ac:dyDescent="0.35">
      <c r="A13" t="s">
        <v>4440</v>
      </c>
      <c r="B13" t="s">
        <v>4441</v>
      </c>
      <c r="C13" t="s">
        <v>4442</v>
      </c>
      <c r="D13" t="s">
        <v>4443</v>
      </c>
    </row>
    <row r="14" spans="1:5" x14ac:dyDescent="0.35">
      <c r="A14" t="s">
        <v>4444</v>
      </c>
      <c r="B14" t="s">
        <v>4445</v>
      </c>
      <c r="C14" t="s">
        <v>4446</v>
      </c>
      <c r="D14" t="s">
        <v>3133</v>
      </c>
    </row>
    <row r="15" spans="1:5" x14ac:dyDescent="0.35">
      <c r="A15" t="s">
        <v>4447</v>
      </c>
      <c r="B15" t="s">
        <v>4448</v>
      </c>
      <c r="C15" t="s">
        <v>4449</v>
      </c>
      <c r="D15" t="s">
        <v>3133</v>
      </c>
    </row>
    <row r="16" spans="1:5" x14ac:dyDescent="0.35">
      <c r="A16" t="s">
        <v>4450</v>
      </c>
      <c r="B16" t="s">
        <v>4451</v>
      </c>
      <c r="C16" t="s">
        <v>4452</v>
      </c>
      <c r="D16" t="s">
        <v>4453</v>
      </c>
    </row>
    <row r="17" spans="1:6" x14ac:dyDescent="0.35">
      <c r="A17" t="s">
        <v>4454</v>
      </c>
      <c r="B17" t="s">
        <v>4455</v>
      </c>
      <c r="C17" t="s">
        <v>4456</v>
      </c>
      <c r="D17" t="s">
        <v>3133</v>
      </c>
    </row>
    <row r="18" spans="1:6" x14ac:dyDescent="0.35">
      <c r="A18" t="s">
        <v>4457</v>
      </c>
      <c r="B18" t="s">
        <v>4458</v>
      </c>
      <c r="C18" t="s">
        <v>4459</v>
      </c>
      <c r="D18" t="s">
        <v>3133</v>
      </c>
    </row>
    <row r="19" spans="1:6" x14ac:dyDescent="0.35">
      <c r="A19" t="s">
        <v>4460</v>
      </c>
      <c r="B19" t="s">
        <v>4461</v>
      </c>
      <c r="C19" t="s">
        <v>4462</v>
      </c>
      <c r="D19" t="s">
        <v>3133</v>
      </c>
    </row>
    <row r="20" spans="1:6" x14ac:dyDescent="0.35">
      <c r="A20" t="s">
        <v>4463</v>
      </c>
      <c r="B20" t="s">
        <v>4464</v>
      </c>
      <c r="C20" t="s">
        <v>4465</v>
      </c>
      <c r="D20" t="s">
        <v>3133</v>
      </c>
    </row>
    <row r="21" spans="1:6" x14ac:dyDescent="0.35">
      <c r="A21" t="s">
        <v>4466</v>
      </c>
      <c r="B21" t="s">
        <v>4467</v>
      </c>
      <c r="C21" t="s">
        <v>4468</v>
      </c>
      <c r="D21" t="s">
        <v>4469</v>
      </c>
    </row>
    <row r="22" spans="1:6" x14ac:dyDescent="0.35">
      <c r="A22" t="s">
        <v>4470</v>
      </c>
      <c r="B22" t="s">
        <v>4471</v>
      </c>
      <c r="C22" t="s">
        <v>4472</v>
      </c>
      <c r="D22" t="s">
        <v>3145</v>
      </c>
    </row>
    <row r="23" spans="1:6" x14ac:dyDescent="0.35">
      <c r="A23" t="s">
        <v>4473</v>
      </c>
      <c r="B23" t="s">
        <v>4474</v>
      </c>
      <c r="C23" t="s">
        <v>4475</v>
      </c>
      <c r="D23" t="s">
        <v>3133</v>
      </c>
    </row>
    <row r="24" spans="1:6" x14ac:dyDescent="0.35">
      <c r="A24" t="s">
        <v>2002</v>
      </c>
      <c r="B24" t="s">
        <v>4476</v>
      </c>
      <c r="C24" t="s">
        <v>4477</v>
      </c>
      <c r="D24" t="s">
        <v>3133</v>
      </c>
    </row>
    <row r="26" spans="1:6" x14ac:dyDescent="0.35">
      <c r="A26" s="374" t="s">
        <v>4478</v>
      </c>
    </row>
    <row r="28" spans="1:6" x14ac:dyDescent="0.35">
      <c r="A28" s="376" t="s">
        <v>4479</v>
      </c>
      <c r="B28" s="376" t="s">
        <v>4480</v>
      </c>
      <c r="C28" s="376" t="s">
        <v>4481</v>
      </c>
      <c r="D28" s="376" t="s">
        <v>4482</v>
      </c>
      <c r="E28" s="376" t="s">
        <v>4483</v>
      </c>
      <c r="F28" s="376" t="s">
        <v>1469</v>
      </c>
    </row>
    <row r="29" spans="1:6" x14ac:dyDescent="0.35">
      <c r="A29" t="s">
        <v>4016</v>
      </c>
      <c r="B29" t="s">
        <v>4484</v>
      </c>
      <c r="C29" t="s">
        <v>4485</v>
      </c>
      <c r="D29" t="s">
        <v>4486</v>
      </c>
      <c r="E29" t="s">
        <v>4487</v>
      </c>
      <c r="F29" t="s">
        <v>3133</v>
      </c>
    </row>
    <row r="30" spans="1:6" x14ac:dyDescent="0.35">
      <c r="A30" t="s">
        <v>4017</v>
      </c>
      <c r="B30" t="s">
        <v>4488</v>
      </c>
      <c r="C30" t="s">
        <v>4485</v>
      </c>
      <c r="D30" t="s">
        <v>4489</v>
      </c>
      <c r="E30" t="s">
        <v>4490</v>
      </c>
      <c r="F30" t="s">
        <v>3133</v>
      </c>
    </row>
    <row r="31" spans="1:6" x14ac:dyDescent="0.35">
      <c r="A31" t="s">
        <v>4491</v>
      </c>
      <c r="B31" t="s">
        <v>4492</v>
      </c>
      <c r="C31" t="s">
        <v>4493</v>
      </c>
      <c r="D31" t="s">
        <v>4494</v>
      </c>
      <c r="E31" t="s">
        <v>4495</v>
      </c>
      <c r="F31" t="s">
        <v>4496</v>
      </c>
    </row>
    <row r="32" spans="1:6" x14ac:dyDescent="0.35">
      <c r="A32" t="s">
        <v>4497</v>
      </c>
      <c r="B32" t="s">
        <v>4498</v>
      </c>
      <c r="C32" t="s">
        <v>4493</v>
      </c>
      <c r="D32" t="s">
        <v>4499</v>
      </c>
      <c r="E32" t="s">
        <v>4495</v>
      </c>
      <c r="F32" t="s">
        <v>3133</v>
      </c>
    </row>
    <row r="33" spans="1:6" x14ac:dyDescent="0.35">
      <c r="A33" t="s">
        <v>4500</v>
      </c>
      <c r="B33" t="s">
        <v>4501</v>
      </c>
      <c r="C33" t="s">
        <v>4502</v>
      </c>
      <c r="D33" t="s">
        <v>4503</v>
      </c>
      <c r="E33" t="s">
        <v>4504</v>
      </c>
      <c r="F33" t="s">
        <v>4505</v>
      </c>
    </row>
    <row r="34" spans="1:6" x14ac:dyDescent="0.35">
      <c r="A34" t="s">
        <v>4506</v>
      </c>
      <c r="B34" t="s">
        <v>4507</v>
      </c>
      <c r="C34" t="s">
        <v>4502</v>
      </c>
      <c r="D34" t="s">
        <v>4503</v>
      </c>
      <c r="E34" t="s">
        <v>4504</v>
      </c>
      <c r="F34" t="s">
        <v>3133</v>
      </c>
    </row>
    <row r="35" spans="1:6" x14ac:dyDescent="0.35">
      <c r="A35" t="s">
        <v>4508</v>
      </c>
      <c r="B35" t="s">
        <v>4509</v>
      </c>
      <c r="C35" t="s">
        <v>4510</v>
      </c>
      <c r="D35" t="s">
        <v>4511</v>
      </c>
      <c r="E35" t="s">
        <v>4512</v>
      </c>
      <c r="F35" t="s">
        <v>4513</v>
      </c>
    </row>
    <row r="37" spans="1:6" x14ac:dyDescent="0.35">
      <c r="A37" s="374" t="s">
        <v>4514</v>
      </c>
    </row>
    <row r="38" spans="1:6" x14ac:dyDescent="0.35">
      <c r="A38" s="357" t="s">
        <v>4515</v>
      </c>
    </row>
    <row r="39" spans="1:6" x14ac:dyDescent="0.35">
      <c r="A39" s="357" t="s">
        <v>4516</v>
      </c>
    </row>
    <row r="40" spans="1:6" x14ac:dyDescent="0.35">
      <c r="A40" s="357" t="s">
        <v>4517</v>
      </c>
    </row>
    <row r="41" spans="1:6" x14ac:dyDescent="0.35">
      <c r="A41" s="357" t="s">
        <v>4518</v>
      </c>
    </row>
    <row r="42" spans="1:6" x14ac:dyDescent="0.35">
      <c r="A42" s="357" t="s">
        <v>4519</v>
      </c>
    </row>
  </sheetData>
  <mergeCells count="1">
    <mergeCell ref="A1:E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A83DD-9D01-4833-A1D3-45CBDFAA9C04}">
  <sheetPr>
    <tabColor rgb="FF2E86C1"/>
  </sheetPr>
  <dimension ref="A1:W28"/>
  <sheetViews>
    <sheetView zoomScaleNormal="100" workbookViewId="0">
      <pane xSplit="2" ySplit="4" topLeftCell="C5" activePane="bottomRight" state="frozen"/>
      <selection pane="topRight"/>
      <selection pane="bottomLeft"/>
      <selection pane="bottomRight"/>
    </sheetView>
  </sheetViews>
  <sheetFormatPr defaultColWidth="8.6328125" defaultRowHeight="14.5" x14ac:dyDescent="0.35"/>
  <cols>
    <col min="1" max="1" width="11" customWidth="1"/>
    <col min="2" max="2" width="14" customWidth="1"/>
    <col min="3" max="3" width="30" customWidth="1"/>
    <col min="4" max="4" width="16" customWidth="1"/>
    <col min="5" max="5" width="11" customWidth="1"/>
    <col min="6" max="6" width="9" customWidth="1"/>
    <col min="7" max="8" width="7" customWidth="1"/>
    <col min="9" max="9" width="34" customWidth="1"/>
    <col min="10" max="10" width="22" customWidth="1"/>
    <col min="11" max="13" width="13" customWidth="1"/>
    <col min="14" max="15" width="8" customWidth="1"/>
    <col min="16" max="19" width="13" customWidth="1"/>
    <col min="20" max="21" width="8" customWidth="1"/>
    <col min="22" max="22" width="13" customWidth="1"/>
    <col min="23" max="23" width="55" customWidth="1"/>
  </cols>
  <sheetData>
    <row r="1" spans="1:23" ht="17.25" customHeight="1" x14ac:dyDescent="0.4">
      <c r="A1" s="318" t="s">
        <v>3440</v>
      </c>
    </row>
    <row r="2" spans="1:23" ht="15" customHeight="1" x14ac:dyDescent="0.35">
      <c r="A2" s="331" t="s">
        <v>3439</v>
      </c>
    </row>
    <row r="4" spans="1:23" ht="23.25" customHeight="1" x14ac:dyDescent="0.35">
      <c r="A4" s="326" t="s">
        <v>3438</v>
      </c>
      <c r="B4" s="326" t="s">
        <v>1865</v>
      </c>
      <c r="C4" s="326" t="s">
        <v>3437</v>
      </c>
      <c r="D4" s="326" t="s">
        <v>3436</v>
      </c>
      <c r="E4" s="326" t="s">
        <v>3435</v>
      </c>
      <c r="F4" s="326" t="s">
        <v>3434</v>
      </c>
      <c r="G4" s="326" t="s">
        <v>3433</v>
      </c>
      <c r="H4" s="326" t="s">
        <v>1377</v>
      </c>
      <c r="I4" s="326" t="s">
        <v>3432</v>
      </c>
      <c r="J4" s="326" t="s">
        <v>3431</v>
      </c>
      <c r="K4" s="326" t="s">
        <v>3430</v>
      </c>
      <c r="L4" s="326" t="s">
        <v>3429</v>
      </c>
      <c r="M4" s="326" t="s">
        <v>3428</v>
      </c>
      <c r="N4" s="326" t="s">
        <v>3427</v>
      </c>
      <c r="O4" s="326" t="s">
        <v>3265</v>
      </c>
      <c r="P4" s="326" t="s">
        <v>3426</v>
      </c>
      <c r="Q4" s="326" t="s">
        <v>3425</v>
      </c>
      <c r="R4" s="326" t="s">
        <v>3424</v>
      </c>
      <c r="S4" s="326" t="s">
        <v>3423</v>
      </c>
      <c r="T4" s="326" t="s">
        <v>3422</v>
      </c>
      <c r="U4" s="326" t="s">
        <v>3421</v>
      </c>
      <c r="V4" s="326" t="s">
        <v>3220</v>
      </c>
      <c r="W4" s="326" t="s">
        <v>3420</v>
      </c>
    </row>
    <row r="5" spans="1:23" ht="23.25" customHeight="1" x14ac:dyDescent="0.35">
      <c r="A5" s="22" t="s">
        <v>3419</v>
      </c>
      <c r="B5" s="22" t="s">
        <v>3402</v>
      </c>
      <c r="C5" s="22" t="s">
        <v>3418</v>
      </c>
      <c r="D5" s="22" t="s">
        <v>3369</v>
      </c>
      <c r="E5" s="22" t="s">
        <v>3289</v>
      </c>
      <c r="F5" s="22" t="s">
        <v>3309</v>
      </c>
      <c r="G5" s="321">
        <v>1</v>
      </c>
      <c r="H5" s="22" t="s">
        <v>3317</v>
      </c>
      <c r="I5" s="316" t="s">
        <v>3417</v>
      </c>
      <c r="J5" s="22" t="s">
        <v>3412</v>
      </c>
      <c r="K5" s="328">
        <f>Fabrication!$U$5</f>
        <v>1502340</v>
      </c>
      <c r="L5" s="321">
        <v>380000</v>
      </c>
      <c r="M5" s="321">
        <v>95000</v>
      </c>
      <c r="N5" s="325">
        <v>0</v>
      </c>
      <c r="O5" s="325">
        <v>0</v>
      </c>
      <c r="P5" s="320">
        <f t="shared" ref="P5:P27" si="0">G5*K5*(1+N5)*(1+O5)</f>
        <v>1502340</v>
      </c>
      <c r="Q5" s="320">
        <f t="shared" ref="Q5:Q27" si="1">G5*L5*(1+N5)*(1+O5)</f>
        <v>380000</v>
      </c>
      <c r="R5" s="320">
        <f t="shared" ref="R5:R27" si="2">(Q5+S5)/2</f>
        <v>237500</v>
      </c>
      <c r="S5" s="320">
        <f t="shared" ref="S5:S27" si="3">G5*M5*(1+N5)*(1+O5)</f>
        <v>95000</v>
      </c>
      <c r="T5" s="22" t="s">
        <v>2806</v>
      </c>
      <c r="U5" s="22" t="s">
        <v>2817</v>
      </c>
      <c r="V5" s="22" t="s">
        <v>3133</v>
      </c>
      <c r="W5" s="316" t="s">
        <v>3416</v>
      </c>
    </row>
    <row r="6" spans="1:23" ht="23.25" customHeight="1" x14ac:dyDescent="0.35">
      <c r="A6" s="22" t="s">
        <v>3415</v>
      </c>
      <c r="B6" s="22" t="s">
        <v>3402</v>
      </c>
      <c r="C6" s="22" t="s">
        <v>3414</v>
      </c>
      <c r="D6" s="22" t="s">
        <v>3369</v>
      </c>
      <c r="E6" s="22" t="s">
        <v>3289</v>
      </c>
      <c r="F6" s="22" t="s">
        <v>3309</v>
      </c>
      <c r="G6" s="321">
        <v>1</v>
      </c>
      <c r="H6" s="22" t="s">
        <v>3317</v>
      </c>
      <c r="I6" s="316" t="s">
        <v>3413</v>
      </c>
      <c r="J6" s="22" t="s">
        <v>3412</v>
      </c>
      <c r="K6" s="328">
        <f>Fabrication!$U$6</f>
        <v>2047863.6363636362</v>
      </c>
      <c r="L6" s="321">
        <v>450000</v>
      </c>
      <c r="M6" s="321">
        <v>120000</v>
      </c>
      <c r="N6" s="325">
        <v>0</v>
      </c>
      <c r="O6" s="325">
        <v>0</v>
      </c>
      <c r="P6" s="320">
        <f t="shared" si="0"/>
        <v>2047863.6363636362</v>
      </c>
      <c r="Q6" s="320">
        <f t="shared" si="1"/>
        <v>450000</v>
      </c>
      <c r="R6" s="320">
        <f t="shared" si="2"/>
        <v>285000</v>
      </c>
      <c r="S6" s="320">
        <f t="shared" si="3"/>
        <v>120000</v>
      </c>
      <c r="T6" s="22" t="s">
        <v>2806</v>
      </c>
      <c r="U6" s="22" t="s">
        <v>2817</v>
      </c>
      <c r="V6" s="22" t="s">
        <v>3133</v>
      </c>
      <c r="W6" s="316" t="s">
        <v>3411</v>
      </c>
    </row>
    <row r="7" spans="1:23" ht="23.25" customHeight="1" x14ac:dyDescent="0.35">
      <c r="A7" s="22" t="s">
        <v>3410</v>
      </c>
      <c r="B7" s="22" t="s">
        <v>3402</v>
      </c>
      <c r="C7" s="22" t="s">
        <v>3409</v>
      </c>
      <c r="D7" s="22" t="s">
        <v>3408</v>
      </c>
      <c r="E7" s="22" t="s">
        <v>3289</v>
      </c>
      <c r="F7" s="22" t="s">
        <v>3288</v>
      </c>
      <c r="G7" s="321">
        <v>1</v>
      </c>
      <c r="H7" s="22" t="s">
        <v>3317</v>
      </c>
      <c r="I7" s="316" t="s">
        <v>3407</v>
      </c>
      <c r="J7" s="22" t="s">
        <v>3406</v>
      </c>
      <c r="K7" s="321" t="s">
        <v>3405</v>
      </c>
      <c r="L7" s="321">
        <v>60000</v>
      </c>
      <c r="M7" s="321">
        <v>18000</v>
      </c>
      <c r="N7" s="329">
        <f>'Assumptions (2)'!$B$26</f>
        <v>0.05</v>
      </c>
      <c r="O7" s="329">
        <f>'Assumptions (2)'!$B$29</f>
        <v>0.03</v>
      </c>
      <c r="P7" s="320">
        <f t="shared" si="0"/>
        <v>162225</v>
      </c>
      <c r="Q7" s="320">
        <f t="shared" si="1"/>
        <v>64890</v>
      </c>
      <c r="R7" s="320">
        <f t="shared" si="2"/>
        <v>42178.5</v>
      </c>
      <c r="S7" s="320">
        <f t="shared" si="3"/>
        <v>19467</v>
      </c>
      <c r="T7" s="22" t="s">
        <v>2806</v>
      </c>
      <c r="U7" s="22" t="s">
        <v>2813</v>
      </c>
      <c r="V7" s="22" t="s">
        <v>3182</v>
      </c>
      <c r="W7" s="316" t="s">
        <v>3404</v>
      </c>
    </row>
    <row r="8" spans="1:23" ht="15" customHeight="1" x14ac:dyDescent="0.35">
      <c r="A8" s="22" t="s">
        <v>3403</v>
      </c>
      <c r="B8" s="22" t="s">
        <v>3402</v>
      </c>
      <c r="C8" s="22" t="s">
        <v>3401</v>
      </c>
      <c r="D8" s="22" t="s">
        <v>2008</v>
      </c>
      <c r="E8" s="22" t="s">
        <v>3289</v>
      </c>
      <c r="F8" s="22" t="s">
        <v>3288</v>
      </c>
      <c r="G8" s="321">
        <v>16</v>
      </c>
      <c r="H8" s="22" t="s">
        <v>3340</v>
      </c>
      <c r="I8" s="316" t="s">
        <v>3400</v>
      </c>
      <c r="J8" s="22" t="s">
        <v>3399</v>
      </c>
      <c r="K8" s="321">
        <v>2000</v>
      </c>
      <c r="L8" s="321">
        <v>1500</v>
      </c>
      <c r="M8" s="321">
        <v>900</v>
      </c>
      <c r="N8" s="329">
        <f>'Assumptions (2)'!$B$26</f>
        <v>0.05</v>
      </c>
      <c r="O8" s="329">
        <f>'Assumptions (2)'!$B$29</f>
        <v>0.03</v>
      </c>
      <c r="P8" s="320">
        <f t="shared" si="0"/>
        <v>34608</v>
      </c>
      <c r="Q8" s="320">
        <f t="shared" si="1"/>
        <v>25956</v>
      </c>
      <c r="R8" s="320">
        <f t="shared" si="2"/>
        <v>20764.8</v>
      </c>
      <c r="S8" s="320">
        <f t="shared" si="3"/>
        <v>15573.6</v>
      </c>
      <c r="T8" s="22" t="s">
        <v>3379</v>
      </c>
      <c r="U8" s="22" t="s">
        <v>2806</v>
      </c>
      <c r="V8" s="22" t="s">
        <v>3182</v>
      </c>
      <c r="W8" s="316" t="s">
        <v>3398</v>
      </c>
    </row>
    <row r="9" spans="1:23" ht="23.25" customHeight="1" x14ac:dyDescent="0.35">
      <c r="A9" s="22" t="s">
        <v>3397</v>
      </c>
      <c r="B9" s="22" t="s">
        <v>3396</v>
      </c>
      <c r="C9" s="22" t="s">
        <v>3395</v>
      </c>
      <c r="D9" s="22" t="s">
        <v>3369</v>
      </c>
      <c r="E9" s="22" t="s">
        <v>3289</v>
      </c>
      <c r="F9" s="22" t="s">
        <v>3309</v>
      </c>
      <c r="G9" s="321">
        <v>1</v>
      </c>
      <c r="H9" s="22" t="s">
        <v>3317</v>
      </c>
      <c r="I9" s="316" t="s">
        <v>3394</v>
      </c>
      <c r="J9" s="22" t="s">
        <v>3393</v>
      </c>
      <c r="K9" s="321" t="s">
        <v>3392</v>
      </c>
      <c r="L9" s="321">
        <v>120000</v>
      </c>
      <c r="M9" s="321">
        <v>35000</v>
      </c>
      <c r="N9" s="329">
        <v>0</v>
      </c>
      <c r="O9" s="325">
        <v>0</v>
      </c>
      <c r="P9" s="320">
        <f t="shared" si="0"/>
        <v>350000</v>
      </c>
      <c r="Q9" s="320">
        <f t="shared" si="1"/>
        <v>120000</v>
      </c>
      <c r="R9" s="320">
        <f t="shared" si="2"/>
        <v>77500</v>
      </c>
      <c r="S9" s="320">
        <f t="shared" si="3"/>
        <v>35000</v>
      </c>
      <c r="T9" s="22" t="s">
        <v>2806</v>
      </c>
      <c r="U9" s="22" t="s">
        <v>2817</v>
      </c>
      <c r="V9" s="22" t="s">
        <v>3133</v>
      </c>
      <c r="W9" s="316" t="s">
        <v>3391</v>
      </c>
    </row>
    <row r="10" spans="1:23" ht="23.25" customHeight="1" x14ac:dyDescent="0.35">
      <c r="A10" s="22" t="s">
        <v>3390</v>
      </c>
      <c r="B10" s="22" t="s">
        <v>3389</v>
      </c>
      <c r="C10" s="22" t="s">
        <v>3388</v>
      </c>
      <c r="D10" s="22" t="s">
        <v>3369</v>
      </c>
      <c r="E10" s="22" t="s">
        <v>3289</v>
      </c>
      <c r="F10" s="22" t="s">
        <v>3309</v>
      </c>
      <c r="G10" s="321">
        <v>1</v>
      </c>
      <c r="H10" s="22" t="s">
        <v>3287</v>
      </c>
      <c r="I10" s="316" t="s">
        <v>3387</v>
      </c>
      <c r="J10" s="22" t="s">
        <v>3386</v>
      </c>
      <c r="K10" s="328">
        <f>Fabrication!$U$7</f>
        <v>306840</v>
      </c>
      <c r="L10" s="321">
        <v>180000</v>
      </c>
      <c r="M10" s="321">
        <v>60000</v>
      </c>
      <c r="N10" s="325">
        <v>0</v>
      </c>
      <c r="O10" s="325">
        <v>0</v>
      </c>
      <c r="P10" s="320">
        <f t="shared" si="0"/>
        <v>306840</v>
      </c>
      <c r="Q10" s="320">
        <f t="shared" si="1"/>
        <v>180000</v>
      </c>
      <c r="R10" s="320">
        <f t="shared" si="2"/>
        <v>120000</v>
      </c>
      <c r="S10" s="320">
        <f t="shared" si="3"/>
        <v>60000</v>
      </c>
      <c r="T10" s="22" t="s">
        <v>2806</v>
      </c>
      <c r="U10" s="22" t="s">
        <v>2813</v>
      </c>
      <c r="V10" s="22" t="s">
        <v>3133</v>
      </c>
      <c r="W10" s="316" t="s">
        <v>3385</v>
      </c>
    </row>
    <row r="11" spans="1:23" ht="23.25" customHeight="1" x14ac:dyDescent="0.35">
      <c r="A11" s="22" t="s">
        <v>3384</v>
      </c>
      <c r="B11" s="22" t="s">
        <v>3364</v>
      </c>
      <c r="C11" s="22" t="s">
        <v>3383</v>
      </c>
      <c r="D11" s="22" t="s">
        <v>3382</v>
      </c>
      <c r="E11" s="22" t="s">
        <v>3296</v>
      </c>
      <c r="F11" s="22" t="s">
        <v>3288</v>
      </c>
      <c r="G11" s="321">
        <v>78</v>
      </c>
      <c r="H11" s="22" t="s">
        <v>3340</v>
      </c>
      <c r="I11" s="316" t="s">
        <v>3381</v>
      </c>
      <c r="J11" s="22" t="s">
        <v>3380</v>
      </c>
      <c r="K11" s="321">
        <v>48000</v>
      </c>
      <c r="L11" s="321">
        <v>43000</v>
      </c>
      <c r="M11" s="321">
        <v>36000</v>
      </c>
      <c r="N11" s="329">
        <f>'Assumptions (2)'!$B$25</f>
        <v>0.18</v>
      </c>
      <c r="O11" s="329">
        <f>'Assumptions (2)'!$B$28</f>
        <v>0.02</v>
      </c>
      <c r="P11" s="320">
        <f t="shared" si="0"/>
        <v>4506278.4000000004</v>
      </c>
      <c r="Q11" s="320">
        <f t="shared" si="1"/>
        <v>4036874.4</v>
      </c>
      <c r="R11" s="320">
        <f t="shared" si="2"/>
        <v>3708291.6</v>
      </c>
      <c r="S11" s="320">
        <f t="shared" si="3"/>
        <v>3379708.8000000003</v>
      </c>
      <c r="T11" s="22" t="s">
        <v>3379</v>
      </c>
      <c r="U11" s="22" t="s">
        <v>3123</v>
      </c>
      <c r="V11" s="22" t="s">
        <v>3182</v>
      </c>
      <c r="W11" s="316" t="s">
        <v>3378</v>
      </c>
    </row>
    <row r="12" spans="1:23" ht="23.25" customHeight="1" x14ac:dyDescent="0.35">
      <c r="A12" s="22" t="s">
        <v>3377</v>
      </c>
      <c r="B12" s="22" t="s">
        <v>3364</v>
      </c>
      <c r="C12" s="22" t="s">
        <v>3376</v>
      </c>
      <c r="D12" s="22" t="s">
        <v>3369</v>
      </c>
      <c r="E12" s="22" t="s">
        <v>3289</v>
      </c>
      <c r="F12" s="22" t="s">
        <v>3309</v>
      </c>
      <c r="G12" s="321">
        <v>1</v>
      </c>
      <c r="H12" s="22" t="s">
        <v>3287</v>
      </c>
      <c r="I12" s="316" t="s">
        <v>3375</v>
      </c>
      <c r="J12" s="22" t="s">
        <v>3374</v>
      </c>
      <c r="K12" s="321" t="s">
        <v>3373</v>
      </c>
      <c r="L12" s="321">
        <v>90000</v>
      </c>
      <c r="M12" s="321">
        <v>25000</v>
      </c>
      <c r="N12" s="329">
        <f>'Assumptions (2)'!$B$26</f>
        <v>0.05</v>
      </c>
      <c r="O12" s="325">
        <v>0</v>
      </c>
      <c r="P12" s="320">
        <f t="shared" si="0"/>
        <v>315000</v>
      </c>
      <c r="Q12" s="320">
        <f t="shared" si="1"/>
        <v>94500</v>
      </c>
      <c r="R12" s="320">
        <f t="shared" si="2"/>
        <v>60375</v>
      </c>
      <c r="S12" s="320">
        <f t="shared" si="3"/>
        <v>26250</v>
      </c>
      <c r="T12" s="22" t="s">
        <v>2806</v>
      </c>
      <c r="U12" s="22" t="s">
        <v>2813</v>
      </c>
      <c r="V12" s="22" t="s">
        <v>3133</v>
      </c>
      <c r="W12" s="316" t="s">
        <v>3372</v>
      </c>
    </row>
    <row r="13" spans="1:23" ht="15" customHeight="1" x14ac:dyDescent="0.35">
      <c r="A13" s="22" t="s">
        <v>3371</v>
      </c>
      <c r="B13" s="22" t="s">
        <v>3364</v>
      </c>
      <c r="C13" s="22" t="s">
        <v>3370</v>
      </c>
      <c r="D13" s="22" t="s">
        <v>3369</v>
      </c>
      <c r="E13" s="22" t="s">
        <v>3289</v>
      </c>
      <c r="F13" s="22" t="s">
        <v>3309</v>
      </c>
      <c r="G13" s="321">
        <v>1</v>
      </c>
      <c r="H13" s="22" t="s">
        <v>3287</v>
      </c>
      <c r="I13" s="316" t="s">
        <v>3368</v>
      </c>
      <c r="J13" s="22" t="s">
        <v>3367</v>
      </c>
      <c r="K13" s="328">
        <f>Fabrication!$U$8</f>
        <v>327100</v>
      </c>
      <c r="L13" s="321">
        <v>160000</v>
      </c>
      <c r="M13" s="321">
        <v>70000</v>
      </c>
      <c r="N13" s="325">
        <v>0</v>
      </c>
      <c r="O13" s="325">
        <v>0</v>
      </c>
      <c r="P13" s="320">
        <f t="shared" si="0"/>
        <v>327100</v>
      </c>
      <c r="Q13" s="320">
        <f t="shared" si="1"/>
        <v>160000</v>
      </c>
      <c r="R13" s="320">
        <f t="shared" si="2"/>
        <v>115000</v>
      </c>
      <c r="S13" s="320">
        <f t="shared" si="3"/>
        <v>70000</v>
      </c>
      <c r="T13" s="22" t="s">
        <v>2806</v>
      </c>
      <c r="U13" s="22" t="s">
        <v>2813</v>
      </c>
      <c r="V13" s="22" t="s">
        <v>3133</v>
      </c>
      <c r="W13" s="316" t="s">
        <v>3366</v>
      </c>
    </row>
    <row r="14" spans="1:23" ht="15" customHeight="1" x14ac:dyDescent="0.35">
      <c r="A14" s="22" t="s">
        <v>3365</v>
      </c>
      <c r="B14" s="22" t="s">
        <v>3364</v>
      </c>
      <c r="C14" s="22" t="s">
        <v>3363</v>
      </c>
      <c r="D14" s="22" t="s">
        <v>3362</v>
      </c>
      <c r="E14" s="22" t="s">
        <v>3296</v>
      </c>
      <c r="F14" s="22" t="s">
        <v>3288</v>
      </c>
      <c r="G14" s="334">
        <v>0.15</v>
      </c>
      <c r="H14" s="22" t="s">
        <v>3361</v>
      </c>
      <c r="I14" s="316" t="s">
        <v>3360</v>
      </c>
      <c r="J14" s="22" t="s">
        <v>3359</v>
      </c>
      <c r="K14" s="321">
        <v>550000</v>
      </c>
      <c r="L14" s="321">
        <v>500000</v>
      </c>
      <c r="M14" s="321">
        <v>420000</v>
      </c>
      <c r="N14" s="329">
        <f>'Assumptions (2)'!$B$25</f>
        <v>0.18</v>
      </c>
      <c r="O14" s="329">
        <f>'Assumptions (2)'!$B$29</f>
        <v>0.03</v>
      </c>
      <c r="P14" s="320">
        <f t="shared" si="0"/>
        <v>100270.5</v>
      </c>
      <c r="Q14" s="320">
        <f t="shared" si="1"/>
        <v>91155</v>
      </c>
      <c r="R14" s="320">
        <f t="shared" si="2"/>
        <v>83862.600000000006</v>
      </c>
      <c r="S14" s="320">
        <f t="shared" si="3"/>
        <v>76570.2</v>
      </c>
      <c r="T14" s="22" t="s">
        <v>2806</v>
      </c>
      <c r="U14" s="22" t="s">
        <v>2817</v>
      </c>
      <c r="V14" s="22" t="s">
        <v>3182</v>
      </c>
      <c r="W14" s="316" t="s">
        <v>3358</v>
      </c>
    </row>
    <row r="15" spans="1:23" ht="23.25" customHeight="1" x14ac:dyDescent="0.35">
      <c r="A15" s="22" t="s">
        <v>3357</v>
      </c>
      <c r="B15" s="22" t="s">
        <v>2630</v>
      </c>
      <c r="C15" s="22" t="s">
        <v>3356</v>
      </c>
      <c r="D15" s="22" t="s">
        <v>3355</v>
      </c>
      <c r="E15" s="22" t="s">
        <v>3289</v>
      </c>
      <c r="F15" s="22" t="s">
        <v>3288</v>
      </c>
      <c r="G15" s="321">
        <v>1</v>
      </c>
      <c r="H15" s="22" t="s">
        <v>3317</v>
      </c>
      <c r="I15" s="316" t="s">
        <v>3354</v>
      </c>
      <c r="J15" s="22" t="s">
        <v>3353</v>
      </c>
      <c r="K15" s="321">
        <v>1200000</v>
      </c>
      <c r="L15" s="321">
        <v>1000000</v>
      </c>
      <c r="M15" s="321">
        <v>650000</v>
      </c>
      <c r="N15" s="329">
        <f>'Assumptions (2)'!$B$25</f>
        <v>0.18</v>
      </c>
      <c r="O15" s="329">
        <f>'Assumptions (2)'!$B$28</f>
        <v>0.02</v>
      </c>
      <c r="P15" s="320">
        <f t="shared" si="0"/>
        <v>1444320</v>
      </c>
      <c r="Q15" s="320">
        <f t="shared" si="1"/>
        <v>1203600</v>
      </c>
      <c r="R15" s="320">
        <f t="shared" si="2"/>
        <v>992970</v>
      </c>
      <c r="S15" s="320">
        <f t="shared" si="3"/>
        <v>782340</v>
      </c>
      <c r="T15" s="22" t="s">
        <v>2806</v>
      </c>
      <c r="U15" s="22" t="s">
        <v>2821</v>
      </c>
      <c r="V15" s="22" t="s">
        <v>3182</v>
      </c>
      <c r="W15" s="316" t="s">
        <v>3352</v>
      </c>
    </row>
    <row r="16" spans="1:23" ht="23.25" customHeight="1" x14ac:dyDescent="0.35">
      <c r="A16" s="22" t="s">
        <v>3351</v>
      </c>
      <c r="B16" s="22" t="s">
        <v>2247</v>
      </c>
      <c r="C16" s="22" t="s">
        <v>3350</v>
      </c>
      <c r="D16" s="22" t="s">
        <v>3290</v>
      </c>
      <c r="E16" s="22" t="s">
        <v>3289</v>
      </c>
      <c r="F16" s="22" t="s">
        <v>3288</v>
      </c>
      <c r="G16" s="321">
        <v>1</v>
      </c>
      <c r="H16" s="22" t="s">
        <v>3317</v>
      </c>
      <c r="I16" s="316" t="s">
        <v>3349</v>
      </c>
      <c r="J16" s="22" t="s">
        <v>3348</v>
      </c>
      <c r="K16" s="321">
        <v>90000</v>
      </c>
      <c r="L16" s="321">
        <v>80000</v>
      </c>
      <c r="M16" s="321">
        <v>55000</v>
      </c>
      <c r="N16" s="329">
        <f>'Assumptions (2)'!$B$25</f>
        <v>0.18</v>
      </c>
      <c r="O16" s="329">
        <f>'Assumptions (2)'!$B$28</f>
        <v>0.02</v>
      </c>
      <c r="P16" s="320">
        <f t="shared" si="0"/>
        <v>108324</v>
      </c>
      <c r="Q16" s="320">
        <f t="shared" si="1"/>
        <v>96288</v>
      </c>
      <c r="R16" s="320">
        <f t="shared" si="2"/>
        <v>81243</v>
      </c>
      <c r="S16" s="320">
        <f t="shared" si="3"/>
        <v>66198</v>
      </c>
      <c r="T16" s="22" t="s">
        <v>2806</v>
      </c>
      <c r="U16" s="22" t="s">
        <v>2817</v>
      </c>
      <c r="V16" s="22" t="s">
        <v>3182</v>
      </c>
      <c r="W16" s="316" t="s">
        <v>3347</v>
      </c>
    </row>
    <row r="17" spans="1:23" ht="23.25" customHeight="1" x14ac:dyDescent="0.35">
      <c r="A17" s="22" t="s">
        <v>3346</v>
      </c>
      <c r="B17" s="22" t="s">
        <v>2247</v>
      </c>
      <c r="C17" s="22" t="s">
        <v>3345</v>
      </c>
      <c r="D17" s="22" t="s">
        <v>3290</v>
      </c>
      <c r="E17" s="22" t="s">
        <v>3289</v>
      </c>
      <c r="F17" s="22" t="s">
        <v>3288</v>
      </c>
      <c r="G17" s="321">
        <v>1</v>
      </c>
      <c r="H17" s="22" t="s">
        <v>3317</v>
      </c>
      <c r="I17" s="316" t="s">
        <v>3344</v>
      </c>
      <c r="J17" s="22" t="s">
        <v>3322</v>
      </c>
      <c r="K17" s="321">
        <v>450000</v>
      </c>
      <c r="L17" s="321">
        <v>400000</v>
      </c>
      <c r="M17" s="321">
        <v>280000</v>
      </c>
      <c r="N17" s="329">
        <f>'Assumptions (2)'!$B$25</f>
        <v>0.18</v>
      </c>
      <c r="O17" s="329">
        <f>'Assumptions (2)'!$B$28</f>
        <v>0.02</v>
      </c>
      <c r="P17" s="320">
        <f t="shared" si="0"/>
        <v>541620</v>
      </c>
      <c r="Q17" s="320">
        <f t="shared" si="1"/>
        <v>481440</v>
      </c>
      <c r="R17" s="320">
        <f t="shared" si="2"/>
        <v>409224</v>
      </c>
      <c r="S17" s="320">
        <f t="shared" si="3"/>
        <v>337008</v>
      </c>
      <c r="T17" s="22" t="s">
        <v>2806</v>
      </c>
      <c r="U17" s="22" t="s">
        <v>2821</v>
      </c>
      <c r="V17" s="22" t="s">
        <v>3182</v>
      </c>
      <c r="W17" s="316" t="s">
        <v>3343</v>
      </c>
    </row>
    <row r="18" spans="1:23" ht="15" customHeight="1" x14ac:dyDescent="0.35">
      <c r="A18" s="22" t="s">
        <v>3342</v>
      </c>
      <c r="B18" s="22" t="s">
        <v>3335</v>
      </c>
      <c r="C18" s="22" t="s">
        <v>3341</v>
      </c>
      <c r="D18" s="22" t="s">
        <v>3318</v>
      </c>
      <c r="E18" s="22" t="s">
        <v>3289</v>
      </c>
      <c r="F18" s="22" t="s">
        <v>3288</v>
      </c>
      <c r="G18" s="321">
        <v>6</v>
      </c>
      <c r="H18" s="22" t="s">
        <v>3340</v>
      </c>
      <c r="I18" s="316" t="s">
        <v>3339</v>
      </c>
      <c r="J18" s="22" t="s">
        <v>3338</v>
      </c>
      <c r="K18" s="321">
        <v>8000</v>
      </c>
      <c r="L18" s="321">
        <v>6500</v>
      </c>
      <c r="M18" s="321">
        <v>4000</v>
      </c>
      <c r="N18" s="329">
        <f>'Assumptions (2)'!$B$26</f>
        <v>0.05</v>
      </c>
      <c r="O18" s="329">
        <f>'Assumptions (2)'!$B$28</f>
        <v>0.02</v>
      </c>
      <c r="P18" s="320">
        <f t="shared" si="0"/>
        <v>51408</v>
      </c>
      <c r="Q18" s="320">
        <f t="shared" si="1"/>
        <v>41769</v>
      </c>
      <c r="R18" s="320">
        <f t="shared" si="2"/>
        <v>33736.5</v>
      </c>
      <c r="S18" s="320">
        <f t="shared" si="3"/>
        <v>25704</v>
      </c>
      <c r="T18" s="22" t="s">
        <v>3089</v>
      </c>
      <c r="U18" s="22" t="s">
        <v>2806</v>
      </c>
      <c r="V18" s="22" t="s">
        <v>3182</v>
      </c>
      <c r="W18" s="316" t="s">
        <v>3337</v>
      </c>
    </row>
    <row r="19" spans="1:23" ht="23.25" customHeight="1" x14ac:dyDescent="0.35">
      <c r="A19" s="22" t="s">
        <v>3336</v>
      </c>
      <c r="B19" s="22" t="s">
        <v>3335</v>
      </c>
      <c r="C19" s="22" t="s">
        <v>3334</v>
      </c>
      <c r="D19" s="22" t="s">
        <v>3318</v>
      </c>
      <c r="E19" s="22" t="s">
        <v>3289</v>
      </c>
      <c r="F19" s="22" t="s">
        <v>3288</v>
      </c>
      <c r="G19" s="321">
        <v>1</v>
      </c>
      <c r="H19" s="22" t="s">
        <v>3317</v>
      </c>
      <c r="I19" s="316" t="s">
        <v>3333</v>
      </c>
      <c r="J19" s="22" t="s">
        <v>3332</v>
      </c>
      <c r="K19" s="321">
        <v>250000</v>
      </c>
      <c r="L19" s="321">
        <v>210000</v>
      </c>
      <c r="M19" s="321">
        <v>130000</v>
      </c>
      <c r="N19" s="329">
        <f>'Assumptions (2)'!$B$25</f>
        <v>0.18</v>
      </c>
      <c r="O19" s="329">
        <f>'Assumptions (2)'!$B$28</f>
        <v>0.02</v>
      </c>
      <c r="P19" s="320">
        <f t="shared" si="0"/>
        <v>300900</v>
      </c>
      <c r="Q19" s="320">
        <f t="shared" si="1"/>
        <v>252756</v>
      </c>
      <c r="R19" s="320">
        <f t="shared" si="2"/>
        <v>204612</v>
      </c>
      <c r="S19" s="320">
        <f t="shared" si="3"/>
        <v>156468</v>
      </c>
      <c r="T19" s="22" t="s">
        <v>2806</v>
      </c>
      <c r="U19" s="22" t="s">
        <v>2821</v>
      </c>
      <c r="V19" s="22" t="s">
        <v>3182</v>
      </c>
      <c r="W19" s="316" t="s">
        <v>3331</v>
      </c>
    </row>
    <row r="20" spans="1:23" ht="23.25" customHeight="1" x14ac:dyDescent="0.35">
      <c r="A20" s="22" t="s">
        <v>3330</v>
      </c>
      <c r="B20" s="22" t="s">
        <v>3320</v>
      </c>
      <c r="C20" s="22" t="s">
        <v>3329</v>
      </c>
      <c r="D20" s="22" t="s">
        <v>3290</v>
      </c>
      <c r="E20" s="22" t="s">
        <v>3289</v>
      </c>
      <c r="F20" s="22" t="s">
        <v>3288</v>
      </c>
      <c r="G20" s="321">
        <v>1</v>
      </c>
      <c r="H20" s="22" t="s">
        <v>3287</v>
      </c>
      <c r="I20" s="316" t="s">
        <v>3328</v>
      </c>
      <c r="J20" s="22" t="s">
        <v>3327</v>
      </c>
      <c r="K20" s="321">
        <v>450000</v>
      </c>
      <c r="L20" s="321">
        <v>380000</v>
      </c>
      <c r="M20" s="321">
        <v>240000</v>
      </c>
      <c r="N20" s="329">
        <f>'Assumptions (2)'!$B$25</f>
        <v>0.18</v>
      </c>
      <c r="O20" s="329">
        <f>'Assumptions (2)'!$B$28</f>
        <v>0.02</v>
      </c>
      <c r="P20" s="320">
        <f t="shared" si="0"/>
        <v>541620</v>
      </c>
      <c r="Q20" s="320">
        <f t="shared" si="1"/>
        <v>457368</v>
      </c>
      <c r="R20" s="320">
        <f t="shared" si="2"/>
        <v>373116</v>
      </c>
      <c r="S20" s="320">
        <f t="shared" si="3"/>
        <v>288864</v>
      </c>
      <c r="T20" s="22" t="s">
        <v>2806</v>
      </c>
      <c r="U20" s="22" t="s">
        <v>3123</v>
      </c>
      <c r="V20" s="22" t="s">
        <v>3182</v>
      </c>
      <c r="W20" s="316" t="s">
        <v>3326</v>
      </c>
    </row>
    <row r="21" spans="1:23" ht="23.25" customHeight="1" x14ac:dyDescent="0.35">
      <c r="A21" s="22" t="s">
        <v>3325</v>
      </c>
      <c r="B21" s="22" t="s">
        <v>3320</v>
      </c>
      <c r="C21" s="22" t="s">
        <v>3324</v>
      </c>
      <c r="D21" s="22" t="s">
        <v>3290</v>
      </c>
      <c r="E21" s="22" t="s">
        <v>3289</v>
      </c>
      <c r="F21" s="22" t="s">
        <v>3288</v>
      </c>
      <c r="G21" s="321">
        <v>1</v>
      </c>
      <c r="H21" s="22" t="s">
        <v>3317</v>
      </c>
      <c r="I21" s="316" t="s">
        <v>3323</v>
      </c>
      <c r="J21" s="22" t="s">
        <v>3322</v>
      </c>
      <c r="K21" s="321">
        <v>120000</v>
      </c>
      <c r="L21" s="321">
        <v>100000</v>
      </c>
      <c r="M21" s="321">
        <v>65000</v>
      </c>
      <c r="N21" s="329">
        <f>'Assumptions (2)'!$B$25</f>
        <v>0.18</v>
      </c>
      <c r="O21" s="329">
        <f>'Assumptions (2)'!$B$28</f>
        <v>0.02</v>
      </c>
      <c r="P21" s="320">
        <f t="shared" si="0"/>
        <v>144432</v>
      </c>
      <c r="Q21" s="320">
        <f t="shared" si="1"/>
        <v>120360</v>
      </c>
      <c r="R21" s="320">
        <f t="shared" si="2"/>
        <v>99297</v>
      </c>
      <c r="S21" s="320">
        <f t="shared" si="3"/>
        <v>78234</v>
      </c>
      <c r="T21" s="22" t="s">
        <v>2806</v>
      </c>
      <c r="U21" s="22" t="s">
        <v>2821</v>
      </c>
      <c r="V21" s="22" t="s">
        <v>3182</v>
      </c>
      <c r="W21" s="316"/>
    </row>
    <row r="22" spans="1:23" ht="15" customHeight="1" x14ac:dyDescent="0.35">
      <c r="A22" s="22" t="s">
        <v>3321</v>
      </c>
      <c r="B22" s="22" t="s">
        <v>3320</v>
      </c>
      <c r="C22" s="22" t="s">
        <v>3319</v>
      </c>
      <c r="D22" s="22" t="s">
        <v>3318</v>
      </c>
      <c r="E22" s="22" t="s">
        <v>3289</v>
      </c>
      <c r="F22" s="22" t="s">
        <v>3288</v>
      </c>
      <c r="G22" s="321">
        <v>1</v>
      </c>
      <c r="H22" s="22" t="s">
        <v>3317</v>
      </c>
      <c r="I22" s="316" t="s">
        <v>3316</v>
      </c>
      <c r="J22" s="22" t="s">
        <v>3315</v>
      </c>
      <c r="K22" s="321">
        <v>80000</v>
      </c>
      <c r="L22" s="321">
        <v>65000</v>
      </c>
      <c r="M22" s="321">
        <v>40000</v>
      </c>
      <c r="N22" s="329">
        <f>'Assumptions (2)'!$B$26</f>
        <v>0.05</v>
      </c>
      <c r="O22" s="329">
        <f>'Assumptions (2)'!$B$28</f>
        <v>0.02</v>
      </c>
      <c r="P22" s="320">
        <f t="shared" si="0"/>
        <v>85680</v>
      </c>
      <c r="Q22" s="320">
        <f t="shared" si="1"/>
        <v>69615</v>
      </c>
      <c r="R22" s="320">
        <f t="shared" si="2"/>
        <v>56227.5</v>
      </c>
      <c r="S22" s="320">
        <f t="shared" si="3"/>
        <v>42840</v>
      </c>
      <c r="T22" s="22" t="s">
        <v>2806</v>
      </c>
      <c r="U22" s="22" t="s">
        <v>2813</v>
      </c>
      <c r="V22" s="22" t="s">
        <v>3133</v>
      </c>
      <c r="W22" s="316" t="s">
        <v>3314</v>
      </c>
    </row>
    <row r="23" spans="1:23" ht="23.25" customHeight="1" x14ac:dyDescent="0.35">
      <c r="A23" s="22" t="s">
        <v>3313</v>
      </c>
      <c r="B23" s="22" t="s">
        <v>3312</v>
      </c>
      <c r="C23" s="22" t="s">
        <v>3311</v>
      </c>
      <c r="D23" s="22" t="s">
        <v>3310</v>
      </c>
      <c r="E23" s="22" t="s">
        <v>3289</v>
      </c>
      <c r="F23" s="22" t="s">
        <v>3309</v>
      </c>
      <c r="G23" s="321">
        <v>1</v>
      </c>
      <c r="H23" s="22" t="s">
        <v>3287</v>
      </c>
      <c r="I23" s="316" t="s">
        <v>3308</v>
      </c>
      <c r="J23" s="22" t="s">
        <v>3307</v>
      </c>
      <c r="K23" s="321">
        <v>350000</v>
      </c>
      <c r="L23" s="321">
        <v>280000</v>
      </c>
      <c r="M23" s="321">
        <v>170000</v>
      </c>
      <c r="N23" s="329">
        <f>'Assumptions (2)'!$B$26</f>
        <v>0.05</v>
      </c>
      <c r="O23" s="329">
        <f>'Assumptions (2)'!$B$29</f>
        <v>0.03</v>
      </c>
      <c r="P23" s="320">
        <f t="shared" si="0"/>
        <v>378525</v>
      </c>
      <c r="Q23" s="320">
        <f t="shared" si="1"/>
        <v>302820</v>
      </c>
      <c r="R23" s="320">
        <f t="shared" si="2"/>
        <v>243337.5</v>
      </c>
      <c r="S23" s="320">
        <f t="shared" si="3"/>
        <v>183855</v>
      </c>
      <c r="T23" s="22" t="s">
        <v>2806</v>
      </c>
      <c r="U23" s="22" t="s">
        <v>2806</v>
      </c>
      <c r="V23" s="22" t="s">
        <v>3133</v>
      </c>
      <c r="W23" s="316" t="s">
        <v>3306</v>
      </c>
    </row>
    <row r="24" spans="1:23" ht="23.25" customHeight="1" x14ac:dyDescent="0.35">
      <c r="A24" s="22" t="s">
        <v>3305</v>
      </c>
      <c r="B24" s="22" t="s">
        <v>3304</v>
      </c>
      <c r="C24" s="22" t="s">
        <v>3303</v>
      </c>
      <c r="D24" s="22" t="s">
        <v>3297</v>
      </c>
      <c r="E24" s="22" t="s">
        <v>3296</v>
      </c>
      <c r="F24" s="22" t="s">
        <v>3288</v>
      </c>
      <c r="G24" s="321">
        <v>1</v>
      </c>
      <c r="H24" s="22" t="s">
        <v>3287</v>
      </c>
      <c r="I24" s="316" t="s">
        <v>3302</v>
      </c>
      <c r="J24" s="22" t="s">
        <v>3301</v>
      </c>
      <c r="K24" s="321">
        <v>100000</v>
      </c>
      <c r="L24" s="321">
        <v>80000</v>
      </c>
      <c r="M24" s="321">
        <v>45000</v>
      </c>
      <c r="N24" s="329">
        <f>'Assumptions (2)'!$B$26</f>
        <v>0.05</v>
      </c>
      <c r="O24" s="329">
        <f>'Assumptions (2)'!$B$29</f>
        <v>0.03</v>
      </c>
      <c r="P24" s="320">
        <f t="shared" si="0"/>
        <v>108150</v>
      </c>
      <c r="Q24" s="320">
        <f t="shared" si="1"/>
        <v>86520</v>
      </c>
      <c r="R24" s="320">
        <f t="shared" si="2"/>
        <v>67593.75</v>
      </c>
      <c r="S24" s="320">
        <f t="shared" si="3"/>
        <v>48667.5</v>
      </c>
      <c r="T24" s="22" t="s">
        <v>2806</v>
      </c>
      <c r="U24" s="22" t="s">
        <v>2806</v>
      </c>
      <c r="V24" s="22" t="s">
        <v>3133</v>
      </c>
      <c r="W24" s="316"/>
    </row>
    <row r="25" spans="1:23" ht="23.25" customHeight="1" x14ac:dyDescent="0.35">
      <c r="A25" s="22" t="s">
        <v>3300</v>
      </c>
      <c r="B25" s="22" t="s">
        <v>3299</v>
      </c>
      <c r="C25" s="22" t="s">
        <v>3298</v>
      </c>
      <c r="D25" s="22" t="s">
        <v>3297</v>
      </c>
      <c r="E25" s="22" t="s">
        <v>3296</v>
      </c>
      <c r="F25" s="22" t="s">
        <v>3288</v>
      </c>
      <c r="G25" s="321">
        <v>1</v>
      </c>
      <c r="H25" s="22" t="s">
        <v>3287</v>
      </c>
      <c r="I25" s="316" t="s">
        <v>3295</v>
      </c>
      <c r="J25" s="22" t="s">
        <v>3294</v>
      </c>
      <c r="K25" s="321">
        <v>200000</v>
      </c>
      <c r="L25" s="321">
        <v>160000</v>
      </c>
      <c r="M25" s="321">
        <v>90000</v>
      </c>
      <c r="N25" s="329">
        <f>'Assumptions (2)'!$B$25</f>
        <v>0.18</v>
      </c>
      <c r="O25" s="329">
        <f>'Assumptions (2)'!$B$29</f>
        <v>0.03</v>
      </c>
      <c r="P25" s="320">
        <f t="shared" si="0"/>
        <v>243080</v>
      </c>
      <c r="Q25" s="320">
        <f t="shared" si="1"/>
        <v>194464</v>
      </c>
      <c r="R25" s="320">
        <f t="shared" si="2"/>
        <v>151925</v>
      </c>
      <c r="S25" s="320">
        <f t="shared" si="3"/>
        <v>109386</v>
      </c>
      <c r="T25" s="22" t="s">
        <v>2806</v>
      </c>
      <c r="U25" s="22" t="s">
        <v>2817</v>
      </c>
      <c r="V25" s="22" t="s">
        <v>3182</v>
      </c>
      <c r="W25" s="316"/>
    </row>
    <row r="26" spans="1:23" ht="23.25" customHeight="1" x14ac:dyDescent="0.35">
      <c r="A26" s="22" t="s">
        <v>4814</v>
      </c>
      <c r="B26" s="22" t="s">
        <v>2247</v>
      </c>
      <c r="C26" s="22" t="s">
        <v>4815</v>
      </c>
      <c r="D26" s="22" t="s">
        <v>3290</v>
      </c>
      <c r="E26" s="22" t="s">
        <v>3289</v>
      </c>
      <c r="F26" s="22" t="s">
        <v>3288</v>
      </c>
      <c r="G26" s="321">
        <v>1</v>
      </c>
      <c r="H26" s="22" t="s">
        <v>3340</v>
      </c>
      <c r="I26" s="316" t="s">
        <v>4816</v>
      </c>
      <c r="J26" s="22" t="s">
        <v>4817</v>
      </c>
      <c r="K26" s="321">
        <v>35000</v>
      </c>
      <c r="L26" s="321">
        <v>28000</v>
      </c>
      <c r="M26" s="321">
        <v>18000</v>
      </c>
      <c r="N26" s="329">
        <v>0.1</v>
      </c>
      <c r="O26" s="329">
        <v>0.02</v>
      </c>
      <c r="P26" s="320">
        <f>G26*K26*(1+N26)*(1+O26)</f>
        <v>39270</v>
      </c>
      <c r="Q26" s="320">
        <f>G26*L26*(1+N26)*(1+O26)</f>
        <v>31416.000000000004</v>
      </c>
      <c r="R26" s="320">
        <f>(Q26+S26)/2</f>
        <v>25806</v>
      </c>
      <c r="S26" s="320">
        <f>G26*M26*(1+N26)*(1+O26)</f>
        <v>20196</v>
      </c>
      <c r="T26" s="22">
        <v>8</v>
      </c>
      <c r="U26" s="22">
        <v>100</v>
      </c>
      <c r="V26" s="22" t="s">
        <v>4818</v>
      </c>
      <c r="W26" s="316"/>
    </row>
    <row r="27" spans="1:23" ht="23.25" customHeight="1" x14ac:dyDescent="0.35">
      <c r="A27" s="22" t="s">
        <v>3293</v>
      </c>
      <c r="B27" s="22" t="s">
        <v>3292</v>
      </c>
      <c r="C27" s="22" t="s">
        <v>3291</v>
      </c>
      <c r="D27" s="22" t="s">
        <v>3290</v>
      </c>
      <c r="E27" s="22" t="s">
        <v>3289</v>
      </c>
      <c r="F27" s="22" t="s">
        <v>3288</v>
      </c>
      <c r="G27" s="321">
        <v>1</v>
      </c>
      <c r="H27" s="22" t="s">
        <v>3287</v>
      </c>
      <c r="I27" s="316" t="s">
        <v>3286</v>
      </c>
      <c r="J27" s="22" t="s">
        <v>3285</v>
      </c>
      <c r="K27" s="321">
        <v>60000</v>
      </c>
      <c r="L27" s="321">
        <v>45000</v>
      </c>
      <c r="M27" s="321">
        <v>25000</v>
      </c>
      <c r="N27" s="329">
        <f>'Assumptions (2)'!$B$26</f>
        <v>0.05</v>
      </c>
      <c r="O27" s="329">
        <f>'Assumptions (2)'!$B$28</f>
        <v>0.02</v>
      </c>
      <c r="P27" s="320">
        <f t="shared" si="0"/>
        <v>64260</v>
      </c>
      <c r="Q27" s="320">
        <f t="shared" si="1"/>
        <v>48195</v>
      </c>
      <c r="R27" s="320">
        <f t="shared" si="2"/>
        <v>37485</v>
      </c>
      <c r="S27" s="320">
        <f t="shared" si="3"/>
        <v>26775</v>
      </c>
      <c r="T27" s="22" t="s">
        <v>3089</v>
      </c>
      <c r="U27" s="22" t="s">
        <v>2813</v>
      </c>
      <c r="V27" s="22" t="s">
        <v>3182</v>
      </c>
      <c r="W27" s="316" t="s">
        <v>3284</v>
      </c>
    </row>
    <row r="28" spans="1:23" ht="15" customHeight="1" x14ac:dyDescent="0.35">
      <c r="C28" s="333" t="s">
        <v>3283</v>
      </c>
      <c r="P28" s="332">
        <f>SUM(P5:P27)</f>
        <v>13704114.536363637</v>
      </c>
      <c r="Q28" s="332">
        <f>SUM(Q5:Q27)</f>
        <v>8989986.4000000004</v>
      </c>
      <c r="R28" s="332">
        <f>SUM(R5:R27)</f>
        <v>7527045.75</v>
      </c>
      <c r="S28" s="332">
        <f>SUM(S5:S27)</f>
        <v>6064105.1000000006</v>
      </c>
    </row>
  </sheetData>
  <pageMargins left="0.75" right="0.75" top="1" bottom="1" header="0.511811023622047" footer="0.511811023622047"/>
  <pageSetup paperSize="9" orientation="portrait" horizontalDpi="300" verticalDpi="300"/>
  <legacy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8CC18-CDE0-4036-AF7F-C61391078861}">
  <sheetPr>
    <tabColor rgb="FF2E86C1"/>
  </sheetPr>
  <dimension ref="A1:W25"/>
  <sheetViews>
    <sheetView zoomScaleNormal="100" workbookViewId="0">
      <pane xSplit="2" ySplit="4" topLeftCell="C5" activePane="bottomRight" state="frozen"/>
      <selection pane="topRight"/>
      <selection pane="bottomLeft"/>
      <selection pane="bottomRight"/>
    </sheetView>
  </sheetViews>
  <sheetFormatPr defaultColWidth="8.6328125" defaultRowHeight="14.5" x14ac:dyDescent="0.35"/>
  <cols>
    <col min="1" max="1" width="11" customWidth="1"/>
    <col min="2" max="2" width="14" customWidth="1"/>
    <col min="3" max="3" width="30" customWidth="1"/>
    <col min="4" max="4" width="16" customWidth="1"/>
    <col min="5" max="5" width="11" customWidth="1"/>
    <col min="6" max="6" width="9" customWidth="1"/>
    <col min="7" max="8" width="7" customWidth="1"/>
    <col min="9" max="9" width="34" customWidth="1"/>
    <col min="10" max="10" width="22" customWidth="1"/>
    <col min="11" max="13" width="13" customWidth="1"/>
    <col min="14" max="15" width="8" customWidth="1"/>
    <col min="16" max="19" width="13" customWidth="1"/>
    <col min="20" max="21" width="8" customWidth="1"/>
    <col min="22" max="22" width="13" customWidth="1"/>
    <col min="23" max="23" width="55" customWidth="1"/>
  </cols>
  <sheetData>
    <row r="1" spans="1:23" ht="17.25" customHeight="1" x14ac:dyDescent="0.4">
      <c r="A1" s="318" t="s">
        <v>3536</v>
      </c>
    </row>
    <row r="2" spans="1:23" ht="15" customHeight="1" x14ac:dyDescent="0.35">
      <c r="A2" s="331" t="s">
        <v>3535</v>
      </c>
    </row>
    <row r="4" spans="1:23" ht="23.25" customHeight="1" x14ac:dyDescent="0.35">
      <c r="A4" s="326" t="s">
        <v>3438</v>
      </c>
      <c r="B4" s="326" t="s">
        <v>1865</v>
      </c>
      <c r="C4" s="326" t="s">
        <v>3437</v>
      </c>
      <c r="D4" s="326" t="s">
        <v>3436</v>
      </c>
      <c r="E4" s="326" t="s">
        <v>3435</v>
      </c>
      <c r="F4" s="326" t="s">
        <v>3434</v>
      </c>
      <c r="G4" s="326" t="s">
        <v>3433</v>
      </c>
      <c r="H4" s="326" t="s">
        <v>1377</v>
      </c>
      <c r="I4" s="326" t="s">
        <v>3432</v>
      </c>
      <c r="J4" s="326" t="s">
        <v>3431</v>
      </c>
      <c r="K4" s="326" t="s">
        <v>3430</v>
      </c>
      <c r="L4" s="326" t="s">
        <v>3429</v>
      </c>
      <c r="M4" s="326" t="s">
        <v>3428</v>
      </c>
      <c r="N4" s="326" t="s">
        <v>3427</v>
      </c>
      <c r="O4" s="326" t="s">
        <v>3265</v>
      </c>
      <c r="P4" s="326" t="s">
        <v>3426</v>
      </c>
      <c r="Q4" s="326" t="s">
        <v>3425</v>
      </c>
      <c r="R4" s="326" t="s">
        <v>3424</v>
      </c>
      <c r="S4" s="326" t="s">
        <v>3423</v>
      </c>
      <c r="T4" s="326" t="s">
        <v>3422</v>
      </c>
      <c r="U4" s="326" t="s">
        <v>3421</v>
      </c>
      <c r="V4" s="326" t="s">
        <v>3220</v>
      </c>
      <c r="W4" s="326" t="s">
        <v>3420</v>
      </c>
    </row>
    <row r="5" spans="1:23" ht="23.25" customHeight="1" x14ac:dyDescent="0.35">
      <c r="A5" s="22" t="s">
        <v>3534</v>
      </c>
      <c r="B5" s="22" t="s">
        <v>3402</v>
      </c>
      <c r="C5" s="22" t="s">
        <v>3533</v>
      </c>
      <c r="D5" s="22" t="s">
        <v>3369</v>
      </c>
      <c r="E5" s="22" t="s">
        <v>3289</v>
      </c>
      <c r="F5" s="22" t="s">
        <v>3309</v>
      </c>
      <c r="G5" s="321">
        <v>1</v>
      </c>
      <c r="H5" s="22" t="s">
        <v>3317</v>
      </c>
      <c r="I5" s="316" t="s">
        <v>3532</v>
      </c>
      <c r="J5" s="22" t="s">
        <v>3515</v>
      </c>
      <c r="K5" s="328">
        <f>Fabrication!$U$9</f>
        <v>5039000</v>
      </c>
      <c r="L5" s="321">
        <v>4200000</v>
      </c>
      <c r="M5" s="321">
        <v>3200000</v>
      </c>
      <c r="N5" s="325">
        <v>0</v>
      </c>
      <c r="O5" s="325">
        <v>0</v>
      </c>
      <c r="P5" s="320">
        <f t="shared" ref="P5:P24" si="0">G5*K5*(1+N5)*(1+O5)</f>
        <v>5039000</v>
      </c>
      <c r="Q5" s="320">
        <f t="shared" ref="Q5:Q24" si="1">G5*L5*(1+N5)*(1+O5)</f>
        <v>4200000</v>
      </c>
      <c r="R5" s="320">
        <f t="shared" ref="R5:R24" si="2">(Q5+S5)/2</f>
        <v>3700000</v>
      </c>
      <c r="S5" s="320">
        <f t="shared" ref="S5:S24" si="3">G5*M5*(1+N5)*(1+O5)</f>
        <v>3200000</v>
      </c>
      <c r="T5" s="22" t="s">
        <v>2806</v>
      </c>
      <c r="U5" s="22" t="s">
        <v>2821</v>
      </c>
      <c r="V5" s="22" t="s">
        <v>3133</v>
      </c>
      <c r="W5" s="316" t="s">
        <v>3531</v>
      </c>
    </row>
    <row r="6" spans="1:23" ht="23.25" customHeight="1" x14ac:dyDescent="0.35">
      <c r="A6" s="22" t="s">
        <v>3530</v>
      </c>
      <c r="B6" s="22" t="s">
        <v>3402</v>
      </c>
      <c r="C6" s="22" t="s">
        <v>3529</v>
      </c>
      <c r="D6" s="22" t="s">
        <v>3369</v>
      </c>
      <c r="E6" s="22" t="s">
        <v>3289</v>
      </c>
      <c r="F6" s="22" t="s">
        <v>3309</v>
      </c>
      <c r="G6" s="321">
        <v>1</v>
      </c>
      <c r="H6" s="22" t="s">
        <v>3287</v>
      </c>
      <c r="I6" s="316" t="s">
        <v>3528</v>
      </c>
      <c r="J6" s="22" t="s">
        <v>3515</v>
      </c>
      <c r="K6" s="328">
        <f>Fabrication!$U$10</f>
        <v>3814799.9999999995</v>
      </c>
      <c r="L6" s="321">
        <v>3000000</v>
      </c>
      <c r="M6" s="321">
        <v>2300000</v>
      </c>
      <c r="N6" s="325">
        <v>0</v>
      </c>
      <c r="O6" s="325">
        <v>0</v>
      </c>
      <c r="P6" s="320">
        <f t="shared" si="0"/>
        <v>3814799.9999999995</v>
      </c>
      <c r="Q6" s="320">
        <f t="shared" si="1"/>
        <v>3000000</v>
      </c>
      <c r="R6" s="320">
        <f t="shared" si="2"/>
        <v>2650000</v>
      </c>
      <c r="S6" s="320">
        <f t="shared" si="3"/>
        <v>2300000</v>
      </c>
      <c r="T6" s="22" t="s">
        <v>2806</v>
      </c>
      <c r="U6" s="22" t="s">
        <v>2821</v>
      </c>
      <c r="V6" s="22" t="s">
        <v>3133</v>
      </c>
      <c r="W6" s="316"/>
    </row>
    <row r="7" spans="1:23" ht="15" customHeight="1" x14ac:dyDescent="0.35">
      <c r="A7" s="22" t="s">
        <v>3527</v>
      </c>
      <c r="B7" s="22" t="s">
        <v>3402</v>
      </c>
      <c r="C7" s="22" t="s">
        <v>3526</v>
      </c>
      <c r="D7" s="22" t="s">
        <v>3369</v>
      </c>
      <c r="E7" s="22" t="s">
        <v>3289</v>
      </c>
      <c r="F7" s="22" t="s">
        <v>3288</v>
      </c>
      <c r="G7" s="321">
        <v>1</v>
      </c>
      <c r="H7" s="22" t="s">
        <v>3287</v>
      </c>
      <c r="I7" s="316" t="s">
        <v>3525</v>
      </c>
      <c r="J7" s="22" t="s">
        <v>3524</v>
      </c>
      <c r="K7" s="321">
        <v>1200000</v>
      </c>
      <c r="L7" s="321">
        <v>1000000</v>
      </c>
      <c r="M7" s="321">
        <v>750000</v>
      </c>
      <c r="N7" s="329">
        <f>'Assumptions (2)'!$B$26</f>
        <v>0.05</v>
      </c>
      <c r="O7" s="329">
        <f>'Assumptions (2)'!$B$29</f>
        <v>0.03</v>
      </c>
      <c r="P7" s="320">
        <f t="shared" si="0"/>
        <v>1297800</v>
      </c>
      <c r="Q7" s="320">
        <f t="shared" si="1"/>
        <v>1081500</v>
      </c>
      <c r="R7" s="320">
        <f t="shared" si="2"/>
        <v>946312.5</v>
      </c>
      <c r="S7" s="320">
        <f t="shared" si="3"/>
        <v>811125</v>
      </c>
      <c r="T7" s="22" t="s">
        <v>2806</v>
      </c>
      <c r="U7" s="22" t="s">
        <v>2817</v>
      </c>
      <c r="V7" s="22" t="s">
        <v>3133</v>
      </c>
      <c r="W7" s="316"/>
    </row>
    <row r="8" spans="1:23" ht="15" customHeight="1" x14ac:dyDescent="0.35">
      <c r="A8" s="22" t="s">
        <v>3523</v>
      </c>
      <c r="B8" s="22" t="s">
        <v>3522</v>
      </c>
      <c r="C8" s="22" t="s">
        <v>3521</v>
      </c>
      <c r="D8" s="22" t="s">
        <v>2008</v>
      </c>
      <c r="E8" s="22" t="s">
        <v>3289</v>
      </c>
      <c r="F8" s="22" t="s">
        <v>3288</v>
      </c>
      <c r="G8" s="321">
        <v>1</v>
      </c>
      <c r="H8" s="22" t="s">
        <v>3287</v>
      </c>
      <c r="I8" s="316" t="s">
        <v>3520</v>
      </c>
      <c r="J8" s="22" t="s">
        <v>3519</v>
      </c>
      <c r="K8" s="321">
        <v>200000</v>
      </c>
      <c r="L8" s="321">
        <v>170000</v>
      </c>
      <c r="M8" s="321">
        <v>120000</v>
      </c>
      <c r="N8" s="329">
        <f>'Assumptions (2)'!$B$26</f>
        <v>0.05</v>
      </c>
      <c r="O8" s="329">
        <f>'Assumptions (2)'!$B$29</f>
        <v>0.03</v>
      </c>
      <c r="P8" s="320">
        <f t="shared" si="0"/>
        <v>216300</v>
      </c>
      <c r="Q8" s="320">
        <f t="shared" si="1"/>
        <v>183855</v>
      </c>
      <c r="R8" s="320">
        <f t="shared" si="2"/>
        <v>156817.5</v>
      </c>
      <c r="S8" s="320">
        <f t="shared" si="3"/>
        <v>129780</v>
      </c>
      <c r="T8" s="22" t="s">
        <v>2806</v>
      </c>
      <c r="U8" s="22" t="s">
        <v>2806</v>
      </c>
      <c r="V8" s="22" t="s">
        <v>3182</v>
      </c>
      <c r="W8" s="316"/>
    </row>
    <row r="9" spans="1:23" ht="23.25" customHeight="1" x14ac:dyDescent="0.35">
      <c r="A9" s="22" t="s">
        <v>3518</v>
      </c>
      <c r="B9" s="22" t="s">
        <v>3493</v>
      </c>
      <c r="C9" s="22" t="s">
        <v>3517</v>
      </c>
      <c r="D9" s="22" t="s">
        <v>3369</v>
      </c>
      <c r="E9" s="22" t="s">
        <v>3289</v>
      </c>
      <c r="F9" s="22" t="s">
        <v>3309</v>
      </c>
      <c r="G9" s="321">
        <v>6</v>
      </c>
      <c r="H9" s="22" t="s">
        <v>3317</v>
      </c>
      <c r="I9" s="316" t="s">
        <v>3516</v>
      </c>
      <c r="J9" s="22" t="s">
        <v>3515</v>
      </c>
      <c r="K9" s="328">
        <f>Fabrication!$U$11</f>
        <v>581380</v>
      </c>
      <c r="L9" s="321">
        <v>470000</v>
      </c>
      <c r="M9" s="321">
        <v>340000</v>
      </c>
      <c r="N9" s="325">
        <v>0</v>
      </c>
      <c r="O9" s="325">
        <v>0</v>
      </c>
      <c r="P9" s="320">
        <f t="shared" si="0"/>
        <v>3488280</v>
      </c>
      <c r="Q9" s="320">
        <f t="shared" si="1"/>
        <v>2820000</v>
      </c>
      <c r="R9" s="320">
        <f t="shared" si="2"/>
        <v>2430000</v>
      </c>
      <c r="S9" s="320">
        <f t="shared" si="3"/>
        <v>2040000</v>
      </c>
      <c r="T9" s="22" t="s">
        <v>3123</v>
      </c>
      <c r="U9" s="22" t="s">
        <v>2817</v>
      </c>
      <c r="V9" s="22" t="s">
        <v>3133</v>
      </c>
      <c r="W9" s="316" t="s">
        <v>3514</v>
      </c>
    </row>
    <row r="10" spans="1:23" ht="23.25" customHeight="1" x14ac:dyDescent="0.35">
      <c r="A10" s="22" t="s">
        <v>3513</v>
      </c>
      <c r="B10" s="22" t="s">
        <v>3493</v>
      </c>
      <c r="C10" s="22" t="s">
        <v>3512</v>
      </c>
      <c r="D10" s="22" t="s">
        <v>3511</v>
      </c>
      <c r="E10" s="22" t="s">
        <v>3289</v>
      </c>
      <c r="F10" s="22" t="s">
        <v>3288</v>
      </c>
      <c r="G10" s="321">
        <v>6</v>
      </c>
      <c r="H10" s="22" t="s">
        <v>3287</v>
      </c>
      <c r="I10" s="316" t="s">
        <v>3510</v>
      </c>
      <c r="J10" s="22" t="s">
        <v>3509</v>
      </c>
      <c r="K10" s="321">
        <v>350000</v>
      </c>
      <c r="L10" s="321">
        <v>300000</v>
      </c>
      <c r="M10" s="321">
        <v>210000</v>
      </c>
      <c r="N10" s="329">
        <f>'Assumptions (2)'!$B$26</f>
        <v>0.05</v>
      </c>
      <c r="O10" s="329">
        <f>'Assumptions (2)'!$B$29</f>
        <v>0.03</v>
      </c>
      <c r="P10" s="320">
        <f t="shared" si="0"/>
        <v>2271150</v>
      </c>
      <c r="Q10" s="320">
        <f t="shared" si="1"/>
        <v>1946700</v>
      </c>
      <c r="R10" s="320">
        <f t="shared" si="2"/>
        <v>1654695</v>
      </c>
      <c r="S10" s="320">
        <f t="shared" si="3"/>
        <v>1362690</v>
      </c>
      <c r="T10" s="22" t="s">
        <v>3123</v>
      </c>
      <c r="U10" s="22" t="s">
        <v>2817</v>
      </c>
      <c r="V10" s="22" t="s">
        <v>3182</v>
      </c>
      <c r="W10" s="316"/>
    </row>
    <row r="11" spans="1:23" ht="23.25" customHeight="1" x14ac:dyDescent="0.35">
      <c r="A11" s="22" t="s">
        <v>3508</v>
      </c>
      <c r="B11" s="22" t="s">
        <v>3493</v>
      </c>
      <c r="C11" s="22" t="s">
        <v>3507</v>
      </c>
      <c r="D11" s="22" t="s">
        <v>3369</v>
      </c>
      <c r="E11" s="22" t="s">
        <v>3289</v>
      </c>
      <c r="F11" s="22" t="s">
        <v>3288</v>
      </c>
      <c r="G11" s="321">
        <v>6</v>
      </c>
      <c r="H11" s="22" t="s">
        <v>3317</v>
      </c>
      <c r="I11" s="316" t="s">
        <v>3506</v>
      </c>
      <c r="J11" s="22" t="s">
        <v>3505</v>
      </c>
      <c r="K11" s="321">
        <v>550000</v>
      </c>
      <c r="L11" s="321">
        <v>450000</v>
      </c>
      <c r="M11" s="321">
        <v>260000</v>
      </c>
      <c r="N11" s="329">
        <f>'Assumptions (2)'!$B$25</f>
        <v>0.18</v>
      </c>
      <c r="O11" s="329">
        <f>'Assumptions (2)'!$B$28</f>
        <v>0.02</v>
      </c>
      <c r="P11" s="320">
        <f t="shared" si="0"/>
        <v>3971880</v>
      </c>
      <c r="Q11" s="320">
        <f t="shared" si="1"/>
        <v>3249720</v>
      </c>
      <c r="R11" s="320">
        <f t="shared" si="2"/>
        <v>2563668</v>
      </c>
      <c r="S11" s="320">
        <f t="shared" si="3"/>
        <v>1877616</v>
      </c>
      <c r="T11" s="22" t="s">
        <v>3123</v>
      </c>
      <c r="U11" s="22" t="s">
        <v>3127</v>
      </c>
      <c r="V11" s="22" t="s">
        <v>3133</v>
      </c>
      <c r="W11" s="316" t="s">
        <v>3504</v>
      </c>
    </row>
    <row r="12" spans="1:23" ht="23.25" customHeight="1" x14ac:dyDescent="0.35">
      <c r="A12" s="22" t="s">
        <v>3503</v>
      </c>
      <c r="B12" s="22" t="s">
        <v>3493</v>
      </c>
      <c r="C12" s="22" t="s">
        <v>3502</v>
      </c>
      <c r="D12" s="22" t="s">
        <v>3369</v>
      </c>
      <c r="E12" s="22" t="s">
        <v>3289</v>
      </c>
      <c r="F12" s="22" t="s">
        <v>3288</v>
      </c>
      <c r="G12" s="321">
        <v>6</v>
      </c>
      <c r="H12" s="22" t="s">
        <v>3287</v>
      </c>
      <c r="I12" s="316" t="s">
        <v>3501</v>
      </c>
      <c r="J12" s="22" t="s">
        <v>3500</v>
      </c>
      <c r="K12" s="321">
        <v>300000</v>
      </c>
      <c r="L12" s="321">
        <v>250000</v>
      </c>
      <c r="M12" s="321">
        <v>170000</v>
      </c>
      <c r="N12" s="329">
        <f>'Assumptions (2)'!$B$25</f>
        <v>0.18</v>
      </c>
      <c r="O12" s="329">
        <f>'Assumptions (2)'!$B$29</f>
        <v>0.03</v>
      </c>
      <c r="P12" s="320">
        <f t="shared" si="0"/>
        <v>2187720</v>
      </c>
      <c r="Q12" s="320">
        <f t="shared" si="1"/>
        <v>1823100</v>
      </c>
      <c r="R12" s="320">
        <f t="shared" si="2"/>
        <v>1531404</v>
      </c>
      <c r="S12" s="320">
        <f t="shared" si="3"/>
        <v>1239708</v>
      </c>
      <c r="T12" s="22" t="s">
        <v>3123</v>
      </c>
      <c r="U12" s="22" t="s">
        <v>2821</v>
      </c>
      <c r="V12" s="22" t="s">
        <v>3133</v>
      </c>
      <c r="W12" s="316" t="s">
        <v>3499</v>
      </c>
    </row>
    <row r="13" spans="1:23" ht="15" customHeight="1" x14ac:dyDescent="0.35">
      <c r="A13" s="22" t="s">
        <v>3498</v>
      </c>
      <c r="B13" s="22" t="s">
        <v>3493</v>
      </c>
      <c r="C13" s="22" t="s">
        <v>3497</v>
      </c>
      <c r="D13" s="22" t="s">
        <v>3318</v>
      </c>
      <c r="E13" s="22" t="s">
        <v>3289</v>
      </c>
      <c r="F13" s="22" t="s">
        <v>3288</v>
      </c>
      <c r="G13" s="321">
        <v>12</v>
      </c>
      <c r="H13" s="22" t="s">
        <v>3340</v>
      </c>
      <c r="I13" s="316" t="s">
        <v>3496</v>
      </c>
      <c r="J13" s="22" t="s">
        <v>3490</v>
      </c>
      <c r="K13" s="321">
        <v>50000</v>
      </c>
      <c r="L13" s="321">
        <v>42000</v>
      </c>
      <c r="M13" s="321">
        <v>28000</v>
      </c>
      <c r="N13" s="329">
        <f>'Assumptions (2)'!$B$25</f>
        <v>0.18</v>
      </c>
      <c r="O13" s="329">
        <f>'Assumptions (2)'!$B$28</f>
        <v>0.02</v>
      </c>
      <c r="P13" s="320">
        <f t="shared" si="0"/>
        <v>722160</v>
      </c>
      <c r="Q13" s="320">
        <f t="shared" si="1"/>
        <v>606614.4</v>
      </c>
      <c r="R13" s="320">
        <f t="shared" si="2"/>
        <v>505512</v>
      </c>
      <c r="S13" s="320">
        <f t="shared" si="3"/>
        <v>404409.60000000003</v>
      </c>
      <c r="T13" s="22" t="s">
        <v>3095</v>
      </c>
      <c r="U13" s="22" t="s">
        <v>2817</v>
      </c>
      <c r="V13" s="22" t="s">
        <v>3182</v>
      </c>
      <c r="W13" s="316" t="s">
        <v>3495</v>
      </c>
    </row>
    <row r="14" spans="1:23" ht="15" customHeight="1" x14ac:dyDescent="0.35">
      <c r="A14" s="22" t="s">
        <v>3494</v>
      </c>
      <c r="B14" s="22" t="s">
        <v>3493</v>
      </c>
      <c r="C14" s="22" t="s">
        <v>3492</v>
      </c>
      <c r="D14" s="22" t="s">
        <v>3318</v>
      </c>
      <c r="E14" s="22" t="s">
        <v>3289</v>
      </c>
      <c r="F14" s="22" t="s">
        <v>3288</v>
      </c>
      <c r="G14" s="321">
        <v>12</v>
      </c>
      <c r="H14" s="22" t="s">
        <v>3340</v>
      </c>
      <c r="I14" s="316" t="s">
        <v>3491</v>
      </c>
      <c r="J14" s="22" t="s">
        <v>3490</v>
      </c>
      <c r="K14" s="321">
        <v>60000</v>
      </c>
      <c r="L14" s="321">
        <v>50000</v>
      </c>
      <c r="M14" s="321">
        <v>32000</v>
      </c>
      <c r="N14" s="329">
        <f>'Assumptions (2)'!$B$25</f>
        <v>0.18</v>
      </c>
      <c r="O14" s="329">
        <f>'Assumptions (2)'!$B$28</f>
        <v>0.02</v>
      </c>
      <c r="P14" s="320">
        <f t="shared" si="0"/>
        <v>866592</v>
      </c>
      <c r="Q14" s="320">
        <f t="shared" si="1"/>
        <v>722160</v>
      </c>
      <c r="R14" s="320">
        <f t="shared" si="2"/>
        <v>592171.19999999995</v>
      </c>
      <c r="S14" s="320">
        <f t="shared" si="3"/>
        <v>462182.40000000002</v>
      </c>
      <c r="T14" s="22" t="s">
        <v>3095</v>
      </c>
      <c r="U14" s="22" t="s">
        <v>2817</v>
      </c>
      <c r="V14" s="22" t="s">
        <v>3182</v>
      </c>
      <c r="W14" s="316" t="s">
        <v>3489</v>
      </c>
    </row>
    <row r="15" spans="1:23" ht="23.25" customHeight="1" x14ac:dyDescent="0.35">
      <c r="A15" s="22" t="s">
        <v>3488</v>
      </c>
      <c r="B15" s="22" t="s">
        <v>3487</v>
      </c>
      <c r="C15" s="22" t="s">
        <v>3486</v>
      </c>
      <c r="D15" s="22" t="s">
        <v>3290</v>
      </c>
      <c r="E15" s="22" t="s">
        <v>3289</v>
      </c>
      <c r="F15" s="22" t="s">
        <v>3288</v>
      </c>
      <c r="G15" s="321">
        <v>6</v>
      </c>
      <c r="H15" s="22" t="s">
        <v>3317</v>
      </c>
      <c r="I15" s="316" t="s">
        <v>3485</v>
      </c>
      <c r="J15" s="22" t="s">
        <v>3484</v>
      </c>
      <c r="K15" s="321">
        <v>1400000</v>
      </c>
      <c r="L15" s="321">
        <v>1250000</v>
      </c>
      <c r="M15" s="321">
        <v>950000</v>
      </c>
      <c r="N15" s="329">
        <f>'Assumptions (2)'!$B$25</f>
        <v>0.18</v>
      </c>
      <c r="O15" s="329">
        <f>'Assumptions (2)'!$B$28</f>
        <v>0.02</v>
      </c>
      <c r="P15" s="320">
        <f t="shared" si="0"/>
        <v>10110240</v>
      </c>
      <c r="Q15" s="320">
        <f t="shared" si="1"/>
        <v>9027000</v>
      </c>
      <c r="R15" s="320">
        <f t="shared" si="2"/>
        <v>7943760</v>
      </c>
      <c r="S15" s="320">
        <f t="shared" si="3"/>
        <v>6860520</v>
      </c>
      <c r="T15" s="22" t="s">
        <v>3123</v>
      </c>
      <c r="U15" s="22" t="s">
        <v>3123</v>
      </c>
      <c r="V15" s="22" t="s">
        <v>3182</v>
      </c>
      <c r="W15" s="316" t="s">
        <v>3483</v>
      </c>
    </row>
    <row r="16" spans="1:23" ht="23.25" customHeight="1" x14ac:dyDescent="0.35">
      <c r="A16" s="22" t="s">
        <v>3482</v>
      </c>
      <c r="B16" s="22" t="s">
        <v>3481</v>
      </c>
      <c r="C16" s="22" t="s">
        <v>3480</v>
      </c>
      <c r="D16" s="22" t="s">
        <v>3479</v>
      </c>
      <c r="E16" s="22" t="s">
        <v>3289</v>
      </c>
      <c r="F16" s="22" t="s">
        <v>3309</v>
      </c>
      <c r="G16" s="321">
        <v>1</v>
      </c>
      <c r="H16" s="22" t="s">
        <v>3317</v>
      </c>
      <c r="I16" s="316" t="s">
        <v>4824</v>
      </c>
      <c r="J16" s="22" t="s">
        <v>3478</v>
      </c>
      <c r="K16" s="321">
        <v>3500000</v>
      </c>
      <c r="L16" s="321">
        <v>3100000</v>
      </c>
      <c r="M16" s="321">
        <v>2400000</v>
      </c>
      <c r="N16" s="329">
        <f>'Assumptions (2)'!$B$26</f>
        <v>0.05</v>
      </c>
      <c r="O16" s="329">
        <f>'Assumptions (2)'!$B$28</f>
        <v>0.02</v>
      </c>
      <c r="P16" s="320">
        <f t="shared" si="0"/>
        <v>3748500</v>
      </c>
      <c r="Q16" s="320">
        <f t="shared" si="1"/>
        <v>3320100</v>
      </c>
      <c r="R16" s="320">
        <f t="shared" si="2"/>
        <v>2945250</v>
      </c>
      <c r="S16" s="320">
        <f t="shared" si="3"/>
        <v>2570400</v>
      </c>
      <c r="T16" s="22" t="s">
        <v>2806</v>
      </c>
      <c r="U16" s="22" t="s">
        <v>2821</v>
      </c>
      <c r="V16" s="22" t="s">
        <v>3182</v>
      </c>
      <c r="W16" s="316" t="s">
        <v>3477</v>
      </c>
    </row>
    <row r="17" spans="1:23" ht="15" customHeight="1" x14ac:dyDescent="0.35">
      <c r="A17" s="22" t="s">
        <v>3476</v>
      </c>
      <c r="B17" s="22" t="s">
        <v>3475</v>
      </c>
      <c r="C17" s="22" t="s">
        <v>3474</v>
      </c>
      <c r="D17" s="22" t="s">
        <v>3290</v>
      </c>
      <c r="E17" s="22" t="s">
        <v>3289</v>
      </c>
      <c r="F17" s="22" t="s">
        <v>3288</v>
      </c>
      <c r="G17" s="321">
        <v>4</v>
      </c>
      <c r="H17" s="22" t="s">
        <v>3287</v>
      </c>
      <c r="I17" s="316" t="s">
        <v>3473</v>
      </c>
      <c r="J17" s="22" t="s">
        <v>3472</v>
      </c>
      <c r="K17" s="321">
        <v>200000</v>
      </c>
      <c r="L17" s="321">
        <v>170000</v>
      </c>
      <c r="M17" s="321">
        <v>120000</v>
      </c>
      <c r="N17" s="329">
        <f>'Assumptions (2)'!$B$25</f>
        <v>0.18</v>
      </c>
      <c r="O17" s="329">
        <f>'Assumptions (2)'!$B$28</f>
        <v>0.02</v>
      </c>
      <c r="P17" s="320">
        <f t="shared" si="0"/>
        <v>962880</v>
      </c>
      <c r="Q17" s="320">
        <f t="shared" si="1"/>
        <v>818448</v>
      </c>
      <c r="R17" s="320">
        <f t="shared" si="2"/>
        <v>698088</v>
      </c>
      <c r="S17" s="320">
        <f t="shared" si="3"/>
        <v>577728</v>
      </c>
      <c r="T17" s="22" t="s">
        <v>2821</v>
      </c>
      <c r="U17" s="22" t="s">
        <v>2817</v>
      </c>
      <c r="V17" s="22" t="s">
        <v>3182</v>
      </c>
      <c r="W17" s="316" t="s">
        <v>3471</v>
      </c>
    </row>
    <row r="18" spans="1:23" ht="15" customHeight="1" x14ac:dyDescent="0.35">
      <c r="A18" s="22" t="s">
        <v>3470</v>
      </c>
      <c r="B18" s="22" t="s">
        <v>3462</v>
      </c>
      <c r="C18" s="22" t="s">
        <v>3469</v>
      </c>
      <c r="D18" s="22" t="s">
        <v>3290</v>
      </c>
      <c r="E18" s="22" t="s">
        <v>3289</v>
      </c>
      <c r="F18" s="22" t="s">
        <v>3288</v>
      </c>
      <c r="G18" s="321">
        <v>1</v>
      </c>
      <c r="H18" s="22" t="s">
        <v>3317</v>
      </c>
      <c r="I18" s="316" t="s">
        <v>3468</v>
      </c>
      <c r="J18" s="22" t="s">
        <v>3322</v>
      </c>
      <c r="K18" s="321">
        <v>3000000</v>
      </c>
      <c r="L18" s="321">
        <v>2700000</v>
      </c>
      <c r="M18" s="321">
        <v>2000000</v>
      </c>
      <c r="N18" s="329">
        <f>'Assumptions (2)'!$B$25</f>
        <v>0.18</v>
      </c>
      <c r="O18" s="329">
        <f>'Assumptions (2)'!$B$28</f>
        <v>0.02</v>
      </c>
      <c r="P18" s="320">
        <f t="shared" si="0"/>
        <v>3610800</v>
      </c>
      <c r="Q18" s="320">
        <f t="shared" si="1"/>
        <v>3249720</v>
      </c>
      <c r="R18" s="320">
        <f t="shared" si="2"/>
        <v>2828460</v>
      </c>
      <c r="S18" s="320">
        <f t="shared" si="3"/>
        <v>2407200</v>
      </c>
      <c r="T18" s="22" t="s">
        <v>2806</v>
      </c>
      <c r="U18" s="22" t="s">
        <v>3123</v>
      </c>
      <c r="V18" s="22" t="s">
        <v>3182</v>
      </c>
      <c r="W18" s="316" t="s">
        <v>3467</v>
      </c>
    </row>
    <row r="19" spans="1:23" ht="23.25" customHeight="1" x14ac:dyDescent="0.35">
      <c r="A19" s="22" t="s">
        <v>3466</v>
      </c>
      <c r="B19" s="22" t="s">
        <v>3462</v>
      </c>
      <c r="C19" s="22" t="s">
        <v>3465</v>
      </c>
      <c r="D19" s="22" t="s">
        <v>3290</v>
      </c>
      <c r="E19" s="22" t="s">
        <v>3289</v>
      </c>
      <c r="F19" s="22" t="s">
        <v>3288</v>
      </c>
      <c r="G19" s="321">
        <v>1</v>
      </c>
      <c r="H19" s="22" t="s">
        <v>3317</v>
      </c>
      <c r="I19" s="316" t="s">
        <v>3464</v>
      </c>
      <c r="J19" s="22" t="s">
        <v>3322</v>
      </c>
      <c r="K19" s="321">
        <v>900000</v>
      </c>
      <c r="L19" s="321">
        <v>800000</v>
      </c>
      <c r="M19" s="321">
        <v>550000</v>
      </c>
      <c r="N19" s="329">
        <f>'Assumptions (2)'!$B$25</f>
        <v>0.18</v>
      </c>
      <c r="O19" s="329">
        <f>'Assumptions (2)'!$B$28</f>
        <v>0.02</v>
      </c>
      <c r="P19" s="320">
        <f t="shared" si="0"/>
        <v>1083240</v>
      </c>
      <c r="Q19" s="320">
        <f t="shared" si="1"/>
        <v>962880</v>
      </c>
      <c r="R19" s="320">
        <f t="shared" si="2"/>
        <v>812430</v>
      </c>
      <c r="S19" s="320">
        <f t="shared" si="3"/>
        <v>661980</v>
      </c>
      <c r="T19" s="22" t="s">
        <v>2806</v>
      </c>
      <c r="U19" s="22" t="s">
        <v>3121</v>
      </c>
      <c r="V19" s="22" t="s">
        <v>3182</v>
      </c>
      <c r="W19" s="316"/>
    </row>
    <row r="20" spans="1:23" ht="15" customHeight="1" x14ac:dyDescent="0.35">
      <c r="A20" s="22" t="s">
        <v>3463</v>
      </c>
      <c r="B20" s="22" t="s">
        <v>3462</v>
      </c>
      <c r="C20" s="22" t="s">
        <v>3461</v>
      </c>
      <c r="D20" s="22" t="s">
        <v>3290</v>
      </c>
      <c r="E20" s="22" t="s">
        <v>3289</v>
      </c>
      <c r="F20" s="22" t="s">
        <v>3288</v>
      </c>
      <c r="G20" s="321">
        <v>1</v>
      </c>
      <c r="H20" s="22" t="s">
        <v>3287</v>
      </c>
      <c r="I20" s="316" t="s">
        <v>3460</v>
      </c>
      <c r="J20" s="22" t="s">
        <v>3301</v>
      </c>
      <c r="K20" s="321">
        <v>250000</v>
      </c>
      <c r="L20" s="321">
        <v>210000</v>
      </c>
      <c r="M20" s="321">
        <v>140000</v>
      </c>
      <c r="N20" s="329">
        <f>'Assumptions (2)'!$B$26</f>
        <v>0.05</v>
      </c>
      <c r="O20" s="329">
        <f>'Assumptions (2)'!$B$28</f>
        <v>0.02</v>
      </c>
      <c r="P20" s="320">
        <f t="shared" si="0"/>
        <v>267750</v>
      </c>
      <c r="Q20" s="320">
        <f t="shared" si="1"/>
        <v>224910</v>
      </c>
      <c r="R20" s="320">
        <f t="shared" si="2"/>
        <v>187425</v>
      </c>
      <c r="S20" s="320">
        <f t="shared" si="3"/>
        <v>149940</v>
      </c>
      <c r="T20" s="22" t="s">
        <v>2806</v>
      </c>
      <c r="U20" s="22" t="s">
        <v>2813</v>
      </c>
      <c r="V20" s="22" t="s">
        <v>3182</v>
      </c>
      <c r="W20" s="316"/>
    </row>
    <row r="21" spans="1:23" ht="34.5" customHeight="1" x14ac:dyDescent="0.35">
      <c r="A21" s="22" t="s">
        <v>3459</v>
      </c>
      <c r="B21" s="22" t="s">
        <v>2240</v>
      </c>
      <c r="C21" s="22" t="s">
        <v>3458</v>
      </c>
      <c r="D21" s="22" t="s">
        <v>3290</v>
      </c>
      <c r="E21" s="22" t="s">
        <v>3289</v>
      </c>
      <c r="F21" s="22" t="s">
        <v>3288</v>
      </c>
      <c r="G21" s="321">
        <v>1</v>
      </c>
      <c r="H21" s="22" t="s">
        <v>3317</v>
      </c>
      <c r="I21" s="316" t="s">
        <v>3457</v>
      </c>
      <c r="J21" s="22" t="s">
        <v>3332</v>
      </c>
      <c r="K21" s="321">
        <v>4000000</v>
      </c>
      <c r="L21" s="321">
        <v>3600000</v>
      </c>
      <c r="M21" s="321">
        <v>2600000</v>
      </c>
      <c r="N21" s="329">
        <f>'Assumptions (2)'!$B$25</f>
        <v>0.18</v>
      </c>
      <c r="O21" s="329">
        <f>'Assumptions (2)'!$B$28</f>
        <v>0.02</v>
      </c>
      <c r="P21" s="320">
        <f t="shared" si="0"/>
        <v>4814400</v>
      </c>
      <c r="Q21" s="320">
        <f t="shared" si="1"/>
        <v>4332960</v>
      </c>
      <c r="R21" s="320">
        <f t="shared" si="2"/>
        <v>3731160</v>
      </c>
      <c r="S21" s="320">
        <f t="shared" si="3"/>
        <v>3129360</v>
      </c>
      <c r="T21" s="22" t="s">
        <v>2806</v>
      </c>
      <c r="U21" s="22" t="s">
        <v>3123</v>
      </c>
      <c r="V21" s="22" t="s">
        <v>3182</v>
      </c>
      <c r="W21" s="316" t="s">
        <v>3456</v>
      </c>
    </row>
    <row r="22" spans="1:23" ht="23.25" customHeight="1" x14ac:dyDescent="0.35">
      <c r="A22" s="22" t="s">
        <v>3455</v>
      </c>
      <c r="B22" s="22" t="s">
        <v>3454</v>
      </c>
      <c r="C22" s="22" t="s">
        <v>3453</v>
      </c>
      <c r="D22" s="22" t="s">
        <v>3310</v>
      </c>
      <c r="E22" s="22" t="s">
        <v>3289</v>
      </c>
      <c r="F22" s="22" t="s">
        <v>3309</v>
      </c>
      <c r="G22" s="321">
        <v>1</v>
      </c>
      <c r="H22" s="22" t="s">
        <v>3287</v>
      </c>
      <c r="I22" s="316" t="s">
        <v>3452</v>
      </c>
      <c r="J22" s="22" t="s">
        <v>3451</v>
      </c>
      <c r="K22" s="321">
        <v>2500000</v>
      </c>
      <c r="L22" s="321">
        <v>2100000</v>
      </c>
      <c r="M22" s="321">
        <v>1400000</v>
      </c>
      <c r="N22" s="329">
        <f>'Assumptions (2)'!$B$26</f>
        <v>0.05</v>
      </c>
      <c r="O22" s="329">
        <f>'Assumptions (2)'!$B$29</f>
        <v>0.03</v>
      </c>
      <c r="P22" s="320">
        <f t="shared" si="0"/>
        <v>2703750</v>
      </c>
      <c r="Q22" s="320">
        <f t="shared" si="1"/>
        <v>2271150</v>
      </c>
      <c r="R22" s="320">
        <f t="shared" si="2"/>
        <v>1892625</v>
      </c>
      <c r="S22" s="320">
        <f t="shared" si="3"/>
        <v>1514100</v>
      </c>
      <c r="T22" s="22" t="s">
        <v>2806</v>
      </c>
      <c r="U22" s="22" t="s">
        <v>2813</v>
      </c>
      <c r="V22" s="22" t="s">
        <v>3133</v>
      </c>
      <c r="W22" s="316"/>
    </row>
    <row r="23" spans="1:23" ht="15" customHeight="1" x14ac:dyDescent="0.35">
      <c r="A23" s="22" t="s">
        <v>3450</v>
      </c>
      <c r="B23" s="22" t="s">
        <v>2014</v>
      </c>
      <c r="C23" s="22" t="s">
        <v>3449</v>
      </c>
      <c r="D23" s="22" t="s">
        <v>3290</v>
      </c>
      <c r="E23" s="22" t="s">
        <v>3289</v>
      </c>
      <c r="F23" s="22" t="s">
        <v>3288</v>
      </c>
      <c r="G23" s="321">
        <v>1</v>
      </c>
      <c r="H23" s="22" t="s">
        <v>3317</v>
      </c>
      <c r="I23" s="316" t="s">
        <v>3448</v>
      </c>
      <c r="J23" s="22" t="s">
        <v>3447</v>
      </c>
      <c r="K23" s="321">
        <v>350000</v>
      </c>
      <c r="L23" s="321">
        <v>320000</v>
      </c>
      <c r="M23" s="321">
        <v>250000</v>
      </c>
      <c r="N23" s="329">
        <f>'Assumptions (2)'!$B$26</f>
        <v>0.05</v>
      </c>
      <c r="O23" s="329">
        <f>'Assumptions (2)'!$B$28</f>
        <v>0.02</v>
      </c>
      <c r="P23" s="320">
        <f t="shared" si="0"/>
        <v>374850</v>
      </c>
      <c r="Q23" s="320">
        <f t="shared" si="1"/>
        <v>342720</v>
      </c>
      <c r="R23" s="320">
        <f t="shared" si="2"/>
        <v>305235</v>
      </c>
      <c r="S23" s="320">
        <f t="shared" si="3"/>
        <v>267750</v>
      </c>
      <c r="T23" s="22" t="s">
        <v>2806</v>
      </c>
      <c r="U23" s="22" t="s">
        <v>2813</v>
      </c>
      <c r="V23" s="22" t="s">
        <v>3182</v>
      </c>
      <c r="W23" s="316" t="s">
        <v>3446</v>
      </c>
    </row>
    <row r="24" spans="1:23" ht="15" customHeight="1" x14ac:dyDescent="0.35">
      <c r="A24" s="22" t="s">
        <v>3445</v>
      </c>
      <c r="B24" s="22" t="s">
        <v>3444</v>
      </c>
      <c r="C24" s="22" t="s">
        <v>3443</v>
      </c>
      <c r="D24" s="22" t="s">
        <v>3297</v>
      </c>
      <c r="E24" s="22" t="s">
        <v>3289</v>
      </c>
      <c r="F24" s="22" t="s">
        <v>3288</v>
      </c>
      <c r="G24" s="321">
        <v>1</v>
      </c>
      <c r="H24" s="22" t="s">
        <v>3287</v>
      </c>
      <c r="I24" s="316" t="s">
        <v>3442</v>
      </c>
      <c r="J24" s="22" t="s">
        <v>3441</v>
      </c>
      <c r="K24" s="321">
        <v>300000</v>
      </c>
      <c r="L24" s="321">
        <v>250000</v>
      </c>
      <c r="M24" s="321">
        <v>160000</v>
      </c>
      <c r="N24" s="329">
        <f>'Assumptions (2)'!$B$26</f>
        <v>0.05</v>
      </c>
      <c r="O24" s="329">
        <f>'Assumptions (2)'!$B$29</f>
        <v>0.03</v>
      </c>
      <c r="P24" s="320">
        <f t="shared" si="0"/>
        <v>324450</v>
      </c>
      <c r="Q24" s="320">
        <f t="shared" si="1"/>
        <v>270375</v>
      </c>
      <c r="R24" s="320">
        <f t="shared" si="2"/>
        <v>221707.5</v>
      </c>
      <c r="S24" s="320">
        <f t="shared" si="3"/>
        <v>173040</v>
      </c>
      <c r="T24" s="22" t="s">
        <v>2806</v>
      </c>
      <c r="U24" s="22" t="s">
        <v>2806</v>
      </c>
      <c r="V24" s="22" t="s">
        <v>3182</v>
      </c>
      <c r="W24" s="316"/>
    </row>
    <row r="25" spans="1:23" ht="15" customHeight="1" x14ac:dyDescent="0.35">
      <c r="C25" s="333" t="s">
        <v>3283</v>
      </c>
      <c r="P25" s="332">
        <f>SUM(P5:P24)</f>
        <v>51876542</v>
      </c>
      <c r="Q25" s="332">
        <f>SUM(Q5:Q24)</f>
        <v>44453912.399999999</v>
      </c>
      <c r="R25" s="332">
        <f>SUM(R5:R24)</f>
        <v>38296720.700000003</v>
      </c>
      <c r="S25" s="332">
        <f>SUM(S5:S24)</f>
        <v>32139529</v>
      </c>
    </row>
  </sheetData>
  <pageMargins left="0.75" right="0.75" top="1" bottom="1" header="0.511811023622047" footer="0.511811023622047"/>
  <pageSetup paperSize="9" orientation="portrait" horizontalDpi="300" verticalDpi="300"/>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5FCB7-5645-4655-9E30-F0DC17AC6B5C}">
  <sheetPr>
    <tabColor rgb="FF2E86C1"/>
  </sheetPr>
  <dimension ref="A1:W24"/>
  <sheetViews>
    <sheetView zoomScaleNormal="100" workbookViewId="0">
      <pane xSplit="2" ySplit="4" topLeftCell="R5" activePane="bottomRight" state="frozen"/>
      <selection pane="topRight"/>
      <selection pane="bottomLeft"/>
      <selection pane="bottomRight" activeCell="W22" sqref="W22"/>
    </sheetView>
  </sheetViews>
  <sheetFormatPr defaultColWidth="8.6328125" defaultRowHeight="14.5" x14ac:dyDescent="0.35"/>
  <cols>
    <col min="1" max="1" width="11" customWidth="1"/>
    <col min="2" max="2" width="14" customWidth="1"/>
    <col min="3" max="3" width="30" customWidth="1"/>
    <col min="4" max="4" width="16" customWidth="1"/>
    <col min="5" max="5" width="11" customWidth="1"/>
    <col min="6" max="6" width="9" customWidth="1"/>
    <col min="7" max="8" width="7" customWidth="1"/>
    <col min="9" max="9" width="34" customWidth="1"/>
    <col min="10" max="10" width="22" customWidth="1"/>
    <col min="11" max="13" width="13" customWidth="1"/>
    <col min="14" max="15" width="8" customWidth="1"/>
    <col min="16" max="19" width="13" customWidth="1"/>
    <col min="20" max="21" width="8" customWidth="1"/>
    <col min="22" max="22" width="13" customWidth="1"/>
    <col min="23" max="23" width="55" customWidth="1"/>
  </cols>
  <sheetData>
    <row r="1" spans="1:23" ht="17.25" customHeight="1" x14ac:dyDescent="0.4">
      <c r="A1" s="318" t="s">
        <v>3610</v>
      </c>
    </row>
    <row r="2" spans="1:23" ht="15" customHeight="1" x14ac:dyDescent="0.35">
      <c r="A2" s="331" t="s">
        <v>3609</v>
      </c>
    </row>
    <row r="4" spans="1:23" ht="23.25" customHeight="1" x14ac:dyDescent="0.35">
      <c r="A4" s="326" t="s">
        <v>3438</v>
      </c>
      <c r="B4" s="326" t="s">
        <v>1865</v>
      </c>
      <c r="C4" s="326" t="s">
        <v>3437</v>
      </c>
      <c r="D4" s="326" t="s">
        <v>3436</v>
      </c>
      <c r="E4" s="326" t="s">
        <v>3435</v>
      </c>
      <c r="F4" s="326" t="s">
        <v>3434</v>
      </c>
      <c r="G4" s="326" t="s">
        <v>3433</v>
      </c>
      <c r="H4" s="326" t="s">
        <v>1377</v>
      </c>
      <c r="I4" s="326" t="s">
        <v>3432</v>
      </c>
      <c r="J4" s="326" t="s">
        <v>3431</v>
      </c>
      <c r="K4" s="326" t="s">
        <v>3430</v>
      </c>
      <c r="L4" s="326" t="s">
        <v>3429</v>
      </c>
      <c r="M4" s="326" t="s">
        <v>3428</v>
      </c>
      <c r="N4" s="326" t="s">
        <v>3427</v>
      </c>
      <c r="O4" s="326" t="s">
        <v>3265</v>
      </c>
      <c r="P4" s="326" t="s">
        <v>3426</v>
      </c>
      <c r="Q4" s="326" t="s">
        <v>3425</v>
      </c>
      <c r="R4" s="326" t="s">
        <v>3424</v>
      </c>
      <c r="S4" s="326" t="s">
        <v>3423</v>
      </c>
      <c r="T4" s="326" t="s">
        <v>3422</v>
      </c>
      <c r="U4" s="326" t="s">
        <v>3421</v>
      </c>
      <c r="V4" s="326" t="s">
        <v>3220</v>
      </c>
      <c r="W4" s="326" t="s">
        <v>3420</v>
      </c>
    </row>
    <row r="5" spans="1:23" ht="23.25" customHeight="1" x14ac:dyDescent="0.35">
      <c r="A5" s="22" t="s">
        <v>3608</v>
      </c>
      <c r="B5" s="22" t="s">
        <v>3596</v>
      </c>
      <c r="C5" s="22" t="s">
        <v>3607</v>
      </c>
      <c r="D5" s="22" t="s">
        <v>3369</v>
      </c>
      <c r="E5" s="22" t="s">
        <v>3289</v>
      </c>
      <c r="F5" s="22" t="s">
        <v>3309</v>
      </c>
      <c r="G5" s="321">
        <v>1</v>
      </c>
      <c r="H5" s="22" t="s">
        <v>3317</v>
      </c>
      <c r="I5" s="316" t="s">
        <v>3606</v>
      </c>
      <c r="J5" s="22" t="s">
        <v>3515</v>
      </c>
      <c r="K5" s="328">
        <f>Fabrication!$U$12</f>
        <v>9059764.7058823518</v>
      </c>
      <c r="L5" s="321">
        <v>7400000</v>
      </c>
      <c r="M5" s="321">
        <v>5600000</v>
      </c>
      <c r="N5" s="325">
        <v>0</v>
      </c>
      <c r="O5" s="325">
        <v>0</v>
      </c>
      <c r="P5" s="320">
        <f t="shared" ref="P5:P23" si="0">G5*K5*(1+N5)*(1+O5)</f>
        <v>9059764.7058823518</v>
      </c>
      <c r="Q5" s="320">
        <f t="shared" ref="Q5:Q23" si="1">G5*L5*(1+N5)*(1+O5)</f>
        <v>7400000</v>
      </c>
      <c r="R5" s="320">
        <f t="shared" ref="R5:R23" si="2">(Q5+S5)/2</f>
        <v>6500000</v>
      </c>
      <c r="S5" s="320">
        <f t="shared" ref="S5:S23" si="3">G5*M5*(1+N5)*(1+O5)</f>
        <v>5600000</v>
      </c>
      <c r="T5" s="22" t="s">
        <v>2806</v>
      </c>
      <c r="U5" s="22" t="s">
        <v>3121</v>
      </c>
      <c r="V5" s="22" t="s">
        <v>3133</v>
      </c>
      <c r="W5" s="316" t="s">
        <v>3605</v>
      </c>
    </row>
    <row r="6" spans="1:23" ht="15" customHeight="1" x14ac:dyDescent="0.35">
      <c r="A6" s="22" t="s">
        <v>3604</v>
      </c>
      <c r="B6" s="22" t="s">
        <v>3596</v>
      </c>
      <c r="C6" s="22" t="s">
        <v>3603</v>
      </c>
      <c r="D6" s="22" t="s">
        <v>3369</v>
      </c>
      <c r="E6" s="22" t="s">
        <v>3289</v>
      </c>
      <c r="F6" s="22" t="s">
        <v>3309</v>
      </c>
      <c r="G6" s="321">
        <v>1</v>
      </c>
      <c r="H6" s="22" t="s">
        <v>3317</v>
      </c>
      <c r="I6" s="316" t="s">
        <v>3602</v>
      </c>
      <c r="J6" s="22" t="s">
        <v>3515</v>
      </c>
      <c r="K6" s="328">
        <f>Fabrication!$U$13</f>
        <v>1426029.411764706</v>
      </c>
      <c r="L6" s="321">
        <v>1000000</v>
      </c>
      <c r="M6" s="321">
        <v>750000</v>
      </c>
      <c r="N6" s="325">
        <v>0</v>
      </c>
      <c r="O6" s="325">
        <v>0</v>
      </c>
      <c r="P6" s="320">
        <f t="shared" si="0"/>
        <v>1426029.411764706</v>
      </c>
      <c r="Q6" s="320">
        <f t="shared" si="1"/>
        <v>1000000</v>
      </c>
      <c r="R6" s="320">
        <f t="shared" si="2"/>
        <v>875000</v>
      </c>
      <c r="S6" s="320">
        <f t="shared" si="3"/>
        <v>750000</v>
      </c>
      <c r="T6" s="22" t="s">
        <v>2806</v>
      </c>
      <c r="U6" s="22" t="s">
        <v>2817</v>
      </c>
      <c r="V6" s="22" t="s">
        <v>3133</v>
      </c>
      <c r="W6" s="316"/>
    </row>
    <row r="7" spans="1:23" ht="15" customHeight="1" x14ac:dyDescent="0.35">
      <c r="A7" s="22" t="s">
        <v>3601</v>
      </c>
      <c r="B7" s="22" t="s">
        <v>3475</v>
      </c>
      <c r="C7" s="22" t="s">
        <v>3600</v>
      </c>
      <c r="D7" s="22" t="s">
        <v>3511</v>
      </c>
      <c r="E7" s="22" t="s">
        <v>3289</v>
      </c>
      <c r="F7" s="22" t="s">
        <v>3288</v>
      </c>
      <c r="G7" s="321">
        <v>2</v>
      </c>
      <c r="H7" s="22" t="s">
        <v>3317</v>
      </c>
      <c r="I7" s="316" t="s">
        <v>3599</v>
      </c>
      <c r="J7" s="22" t="s">
        <v>3598</v>
      </c>
      <c r="K7" s="321">
        <v>350000</v>
      </c>
      <c r="L7" s="321">
        <v>300000</v>
      </c>
      <c r="M7" s="321">
        <v>210000</v>
      </c>
      <c r="N7" s="329">
        <f>'Assumptions (2)'!$B$26</f>
        <v>0.05</v>
      </c>
      <c r="O7" s="329">
        <f>'Assumptions (2)'!$B$29</f>
        <v>0.03</v>
      </c>
      <c r="P7" s="320">
        <f t="shared" si="0"/>
        <v>757050</v>
      </c>
      <c r="Q7" s="320">
        <f t="shared" si="1"/>
        <v>648900</v>
      </c>
      <c r="R7" s="320">
        <f t="shared" si="2"/>
        <v>551565</v>
      </c>
      <c r="S7" s="320">
        <f t="shared" si="3"/>
        <v>454230</v>
      </c>
      <c r="T7" s="22" t="s">
        <v>2813</v>
      </c>
      <c r="U7" s="22" t="s">
        <v>2817</v>
      </c>
      <c r="V7" s="22" t="s">
        <v>3182</v>
      </c>
      <c r="W7" s="316"/>
    </row>
    <row r="8" spans="1:23" ht="23.25" customHeight="1" x14ac:dyDescent="0.35">
      <c r="A8" s="22" t="s">
        <v>3597</v>
      </c>
      <c r="B8" s="22" t="s">
        <v>3596</v>
      </c>
      <c r="C8" s="22" t="s">
        <v>3595</v>
      </c>
      <c r="D8" s="22" t="s">
        <v>3290</v>
      </c>
      <c r="E8" s="22" t="s">
        <v>3289</v>
      </c>
      <c r="F8" s="22" t="s">
        <v>3288</v>
      </c>
      <c r="G8" s="321">
        <v>1</v>
      </c>
      <c r="H8" s="22" t="s">
        <v>3287</v>
      </c>
      <c r="I8" s="316" t="s">
        <v>3594</v>
      </c>
      <c r="J8" s="22" t="s">
        <v>3593</v>
      </c>
      <c r="K8" s="321">
        <v>800000</v>
      </c>
      <c r="L8" s="321">
        <v>700000</v>
      </c>
      <c r="M8" s="321">
        <v>500000</v>
      </c>
      <c r="N8" s="329">
        <f>'Assumptions (2)'!$B$25</f>
        <v>0.18</v>
      </c>
      <c r="O8" s="329">
        <f>'Assumptions (2)'!$B$29</f>
        <v>0.03</v>
      </c>
      <c r="P8" s="320">
        <f t="shared" si="0"/>
        <v>972320</v>
      </c>
      <c r="Q8" s="320">
        <f t="shared" si="1"/>
        <v>850780</v>
      </c>
      <c r="R8" s="320">
        <f t="shared" si="2"/>
        <v>729240</v>
      </c>
      <c r="S8" s="320">
        <f t="shared" si="3"/>
        <v>607700</v>
      </c>
      <c r="T8" s="22" t="s">
        <v>2806</v>
      </c>
      <c r="U8" s="22" t="s">
        <v>2821</v>
      </c>
      <c r="V8" s="22" t="s">
        <v>3182</v>
      </c>
      <c r="W8" s="316"/>
    </row>
    <row r="9" spans="1:23" ht="15" customHeight="1" x14ac:dyDescent="0.35">
      <c r="A9" s="22" t="s">
        <v>3592</v>
      </c>
      <c r="B9" s="22" t="s">
        <v>3587</v>
      </c>
      <c r="C9" s="22" t="s">
        <v>3591</v>
      </c>
      <c r="D9" s="22" t="s">
        <v>3369</v>
      </c>
      <c r="E9" s="22" t="s">
        <v>3289</v>
      </c>
      <c r="F9" s="22" t="s">
        <v>3309</v>
      </c>
      <c r="G9" s="321">
        <v>1</v>
      </c>
      <c r="H9" s="22" t="s">
        <v>3317</v>
      </c>
      <c r="I9" s="316" t="s">
        <v>3590</v>
      </c>
      <c r="J9" s="22" t="s">
        <v>3515</v>
      </c>
      <c r="K9" s="328">
        <f>Fabrication!$U$14</f>
        <v>1844235.294117647</v>
      </c>
      <c r="L9" s="321">
        <v>1550000</v>
      </c>
      <c r="M9" s="321">
        <v>1150000</v>
      </c>
      <c r="N9" s="325">
        <v>0</v>
      </c>
      <c r="O9" s="325">
        <v>0</v>
      </c>
      <c r="P9" s="320">
        <f t="shared" si="0"/>
        <v>1844235.294117647</v>
      </c>
      <c r="Q9" s="320">
        <f t="shared" si="1"/>
        <v>1550000</v>
      </c>
      <c r="R9" s="320">
        <f t="shared" si="2"/>
        <v>1350000</v>
      </c>
      <c r="S9" s="320">
        <f t="shared" si="3"/>
        <v>1150000</v>
      </c>
      <c r="T9" s="22" t="s">
        <v>2806</v>
      </c>
      <c r="U9" s="22" t="s">
        <v>2821</v>
      </c>
      <c r="V9" s="22" t="s">
        <v>3133</v>
      </c>
      <c r="W9" s="316" t="s">
        <v>3589</v>
      </c>
    </row>
    <row r="10" spans="1:23" ht="15" customHeight="1" x14ac:dyDescent="0.35">
      <c r="A10" s="22" t="s">
        <v>3588</v>
      </c>
      <c r="B10" s="22" t="s">
        <v>3587</v>
      </c>
      <c r="C10" s="22" t="s">
        <v>3586</v>
      </c>
      <c r="D10" s="22" t="s">
        <v>3511</v>
      </c>
      <c r="E10" s="22" t="s">
        <v>3289</v>
      </c>
      <c r="F10" s="22" t="s">
        <v>3288</v>
      </c>
      <c r="G10" s="321">
        <v>6</v>
      </c>
      <c r="H10" s="22" t="s">
        <v>3585</v>
      </c>
      <c r="I10" s="316" t="s">
        <v>3584</v>
      </c>
      <c r="J10" s="22" t="s">
        <v>3583</v>
      </c>
      <c r="K10" s="321">
        <v>250000</v>
      </c>
      <c r="L10" s="321">
        <v>210000</v>
      </c>
      <c r="M10" s="321">
        <v>150000</v>
      </c>
      <c r="N10" s="329">
        <f>'Assumptions (2)'!$B$26</f>
        <v>0.05</v>
      </c>
      <c r="O10" s="329">
        <f>'Assumptions (2)'!$B$29</f>
        <v>0.03</v>
      </c>
      <c r="P10" s="320">
        <f t="shared" si="0"/>
        <v>1622250</v>
      </c>
      <c r="Q10" s="320">
        <f t="shared" si="1"/>
        <v>1362690</v>
      </c>
      <c r="R10" s="320">
        <f t="shared" si="2"/>
        <v>1168020</v>
      </c>
      <c r="S10" s="320">
        <f t="shared" si="3"/>
        <v>973350</v>
      </c>
      <c r="T10" s="22" t="s">
        <v>3123</v>
      </c>
      <c r="U10" s="22" t="s">
        <v>2817</v>
      </c>
      <c r="V10" s="22" t="s">
        <v>3182</v>
      </c>
      <c r="W10" s="316"/>
    </row>
    <row r="11" spans="1:23" ht="23.25" customHeight="1" x14ac:dyDescent="0.35">
      <c r="A11" s="22" t="s">
        <v>3582</v>
      </c>
      <c r="B11" s="22" t="s">
        <v>3581</v>
      </c>
      <c r="C11" s="22" t="s">
        <v>3580</v>
      </c>
      <c r="D11" s="22" t="s">
        <v>3369</v>
      </c>
      <c r="E11" s="22" t="s">
        <v>3289</v>
      </c>
      <c r="F11" s="22" t="s">
        <v>3309</v>
      </c>
      <c r="G11" s="321">
        <v>1</v>
      </c>
      <c r="H11" s="22" t="s">
        <v>3287</v>
      </c>
      <c r="I11" s="316" t="s">
        <v>3579</v>
      </c>
      <c r="J11" s="22" t="s">
        <v>3578</v>
      </c>
      <c r="K11" s="328">
        <f>Fabrication!$U$15</f>
        <v>1050840</v>
      </c>
      <c r="L11" s="321">
        <v>850000</v>
      </c>
      <c r="M11" s="321">
        <v>600000</v>
      </c>
      <c r="N11" s="325">
        <v>0</v>
      </c>
      <c r="O11" s="325">
        <v>0</v>
      </c>
      <c r="P11" s="320">
        <f t="shared" si="0"/>
        <v>1050840</v>
      </c>
      <c r="Q11" s="320">
        <f t="shared" si="1"/>
        <v>850000</v>
      </c>
      <c r="R11" s="320">
        <f t="shared" si="2"/>
        <v>725000</v>
      </c>
      <c r="S11" s="320">
        <f t="shared" si="3"/>
        <v>600000</v>
      </c>
      <c r="T11" s="22" t="s">
        <v>2806</v>
      </c>
      <c r="U11" s="22" t="s">
        <v>2817</v>
      </c>
      <c r="V11" s="22" t="s">
        <v>3133</v>
      </c>
      <c r="W11" s="316"/>
    </row>
    <row r="12" spans="1:23" ht="34.5" customHeight="1" x14ac:dyDescent="0.35">
      <c r="A12" s="22" t="s">
        <v>3577</v>
      </c>
      <c r="B12" s="22" t="s">
        <v>2233</v>
      </c>
      <c r="C12" s="22" t="s">
        <v>3576</v>
      </c>
      <c r="D12" s="22" t="s">
        <v>3290</v>
      </c>
      <c r="E12" s="22" t="s">
        <v>3289</v>
      </c>
      <c r="F12" s="22" t="s">
        <v>3288</v>
      </c>
      <c r="G12" s="321">
        <v>1</v>
      </c>
      <c r="H12" s="22" t="s">
        <v>3317</v>
      </c>
      <c r="I12" s="316" t="s">
        <v>3575</v>
      </c>
      <c r="J12" s="22" t="s">
        <v>3574</v>
      </c>
      <c r="K12" s="321">
        <v>28000000</v>
      </c>
      <c r="L12" s="321">
        <v>26000000</v>
      </c>
      <c r="M12" s="321">
        <v>21000000</v>
      </c>
      <c r="N12" s="325">
        <v>0</v>
      </c>
      <c r="O12" s="329">
        <f>'Assumptions (2)'!$B$28</f>
        <v>0.02</v>
      </c>
      <c r="P12" s="320">
        <f t="shared" si="0"/>
        <v>28560000</v>
      </c>
      <c r="Q12" s="320">
        <f t="shared" si="1"/>
        <v>26520000</v>
      </c>
      <c r="R12" s="320">
        <f t="shared" si="2"/>
        <v>23970000</v>
      </c>
      <c r="S12" s="320">
        <f t="shared" si="3"/>
        <v>21420000</v>
      </c>
      <c r="T12" s="22" t="s">
        <v>2806</v>
      </c>
      <c r="U12" s="22" t="s">
        <v>3127</v>
      </c>
      <c r="V12" s="22" t="s">
        <v>3182</v>
      </c>
      <c r="W12" s="316" t="s">
        <v>3573</v>
      </c>
    </row>
    <row r="13" spans="1:23" ht="15" customHeight="1" x14ac:dyDescent="0.35">
      <c r="A13" s="22" t="s">
        <v>3572</v>
      </c>
      <c r="B13" s="22" t="s">
        <v>2233</v>
      </c>
      <c r="C13" s="22" t="s">
        <v>3571</v>
      </c>
      <c r="D13" s="22" t="s">
        <v>3290</v>
      </c>
      <c r="E13" s="22" t="s">
        <v>3289</v>
      </c>
      <c r="F13" s="22" t="s">
        <v>3288</v>
      </c>
      <c r="G13" s="321">
        <v>1</v>
      </c>
      <c r="H13" s="22" t="s">
        <v>3287</v>
      </c>
      <c r="I13" s="316" t="s">
        <v>3570</v>
      </c>
      <c r="J13" s="22" t="s">
        <v>3301</v>
      </c>
      <c r="K13" s="321">
        <v>600000</v>
      </c>
      <c r="L13" s="321">
        <v>520000</v>
      </c>
      <c r="M13" s="321">
        <v>380000</v>
      </c>
      <c r="N13" s="329">
        <f>'Assumptions (2)'!$B$26</f>
        <v>0.05</v>
      </c>
      <c r="O13" s="329">
        <f>'Assumptions (2)'!$B$28</f>
        <v>0.02</v>
      </c>
      <c r="P13" s="320">
        <f t="shared" si="0"/>
        <v>642600</v>
      </c>
      <c r="Q13" s="320">
        <f t="shared" si="1"/>
        <v>556920</v>
      </c>
      <c r="R13" s="320">
        <f t="shared" si="2"/>
        <v>481950</v>
      </c>
      <c r="S13" s="320">
        <f t="shared" si="3"/>
        <v>406980</v>
      </c>
      <c r="T13" s="22" t="s">
        <v>2806</v>
      </c>
      <c r="U13" s="22" t="s">
        <v>2813</v>
      </c>
      <c r="V13" s="22" t="s">
        <v>3133</v>
      </c>
      <c r="W13" s="316"/>
    </row>
    <row r="14" spans="1:23" ht="23.25" customHeight="1" x14ac:dyDescent="0.35">
      <c r="A14" s="22" t="s">
        <v>3569</v>
      </c>
      <c r="B14" s="22" t="s">
        <v>2247</v>
      </c>
      <c r="C14" s="22" t="s">
        <v>3568</v>
      </c>
      <c r="D14" s="22" t="s">
        <v>3290</v>
      </c>
      <c r="E14" s="22" t="s">
        <v>3289</v>
      </c>
      <c r="F14" s="22" t="s">
        <v>3288</v>
      </c>
      <c r="G14" s="321">
        <v>1</v>
      </c>
      <c r="H14" s="22" t="s">
        <v>3287</v>
      </c>
      <c r="I14" s="316" t="s">
        <v>3567</v>
      </c>
      <c r="J14" s="22" t="s">
        <v>3566</v>
      </c>
      <c r="K14" s="321">
        <v>4500000</v>
      </c>
      <c r="L14" s="321">
        <v>4100000</v>
      </c>
      <c r="M14" s="321">
        <v>3300000</v>
      </c>
      <c r="N14" s="329">
        <f>'Assumptions (2)'!$B$26</f>
        <v>0.05</v>
      </c>
      <c r="O14" s="329">
        <f>'Assumptions (2)'!$B$28</f>
        <v>0.02</v>
      </c>
      <c r="P14" s="320">
        <f t="shared" si="0"/>
        <v>4819500</v>
      </c>
      <c r="Q14" s="320">
        <f t="shared" si="1"/>
        <v>4391100</v>
      </c>
      <c r="R14" s="320">
        <f t="shared" si="2"/>
        <v>3962700</v>
      </c>
      <c r="S14" s="320">
        <f t="shared" si="3"/>
        <v>3534300</v>
      </c>
      <c r="T14" s="22" t="s">
        <v>2806</v>
      </c>
      <c r="U14" s="22" t="s">
        <v>2821</v>
      </c>
      <c r="V14" s="22" t="s">
        <v>3182</v>
      </c>
      <c r="W14" s="316" t="s">
        <v>3565</v>
      </c>
    </row>
    <row r="15" spans="1:23" ht="15" customHeight="1" x14ac:dyDescent="0.35">
      <c r="A15" s="22" t="s">
        <v>3564</v>
      </c>
      <c r="B15" s="22" t="s">
        <v>2247</v>
      </c>
      <c r="C15" s="22" t="s">
        <v>3563</v>
      </c>
      <c r="D15" s="22" t="s">
        <v>3290</v>
      </c>
      <c r="E15" s="22" t="s">
        <v>3289</v>
      </c>
      <c r="F15" s="22" t="s">
        <v>3288</v>
      </c>
      <c r="G15" s="321">
        <v>1</v>
      </c>
      <c r="H15" s="22" t="s">
        <v>3287</v>
      </c>
      <c r="I15" s="316" t="s">
        <v>3562</v>
      </c>
      <c r="J15" s="22" t="s">
        <v>3519</v>
      </c>
      <c r="K15" s="321">
        <v>450000</v>
      </c>
      <c r="L15" s="321">
        <v>400000</v>
      </c>
      <c r="M15" s="321">
        <v>300000</v>
      </c>
      <c r="N15" s="329">
        <f>'Assumptions (2)'!$B$26</f>
        <v>0.05</v>
      </c>
      <c r="O15" s="329">
        <f>'Assumptions (2)'!$B$29</f>
        <v>0.03</v>
      </c>
      <c r="P15" s="320">
        <f t="shared" si="0"/>
        <v>486675</v>
      </c>
      <c r="Q15" s="320">
        <f t="shared" si="1"/>
        <v>432600</v>
      </c>
      <c r="R15" s="320">
        <f t="shared" si="2"/>
        <v>378525</v>
      </c>
      <c r="S15" s="320">
        <f t="shared" si="3"/>
        <v>324450</v>
      </c>
      <c r="T15" s="22" t="s">
        <v>2806</v>
      </c>
      <c r="U15" s="22" t="s">
        <v>2813</v>
      </c>
      <c r="V15" s="22" t="s">
        <v>3182</v>
      </c>
      <c r="W15" s="316"/>
    </row>
    <row r="16" spans="1:23" ht="15" customHeight="1" x14ac:dyDescent="0.35">
      <c r="A16" s="22" t="s">
        <v>3561</v>
      </c>
      <c r="B16" s="22" t="s">
        <v>3454</v>
      </c>
      <c r="C16" s="22" t="s">
        <v>3560</v>
      </c>
      <c r="D16" s="22" t="s">
        <v>3290</v>
      </c>
      <c r="E16" s="22" t="s">
        <v>3289</v>
      </c>
      <c r="F16" s="22" t="s">
        <v>3288</v>
      </c>
      <c r="G16" s="321">
        <v>1</v>
      </c>
      <c r="H16" s="22" t="s">
        <v>3287</v>
      </c>
      <c r="I16" s="316" t="s">
        <v>3559</v>
      </c>
      <c r="J16" s="22" t="s">
        <v>3519</v>
      </c>
      <c r="K16" s="321">
        <v>250000</v>
      </c>
      <c r="L16" s="321">
        <v>210000</v>
      </c>
      <c r="M16" s="321">
        <v>150000</v>
      </c>
      <c r="N16" s="329">
        <f>'Assumptions (2)'!$B$26</f>
        <v>0.05</v>
      </c>
      <c r="O16" s="329">
        <f>'Assumptions (2)'!$B$29</f>
        <v>0.03</v>
      </c>
      <c r="P16" s="320">
        <f t="shared" si="0"/>
        <v>270375</v>
      </c>
      <c r="Q16" s="320">
        <f t="shared" si="1"/>
        <v>227115</v>
      </c>
      <c r="R16" s="320">
        <f t="shared" si="2"/>
        <v>194670</v>
      </c>
      <c r="S16" s="320">
        <f t="shared" si="3"/>
        <v>162225</v>
      </c>
      <c r="T16" s="22" t="s">
        <v>2806</v>
      </c>
      <c r="U16" s="22" t="s">
        <v>2806</v>
      </c>
      <c r="V16" s="22" t="s">
        <v>3182</v>
      </c>
      <c r="W16" s="316"/>
    </row>
    <row r="17" spans="1:23" ht="15" customHeight="1" x14ac:dyDescent="0.35">
      <c r="A17" s="22" t="s">
        <v>3558</v>
      </c>
      <c r="B17" s="22" t="s">
        <v>3454</v>
      </c>
      <c r="C17" s="22" t="s">
        <v>3557</v>
      </c>
      <c r="D17" s="22" t="s">
        <v>3310</v>
      </c>
      <c r="E17" s="22" t="s">
        <v>3289</v>
      </c>
      <c r="F17" s="22" t="s">
        <v>3288</v>
      </c>
      <c r="G17" s="321">
        <v>1</v>
      </c>
      <c r="H17" s="22" t="s">
        <v>3287</v>
      </c>
      <c r="I17" s="316" t="s">
        <v>3556</v>
      </c>
      <c r="J17" s="22" t="s">
        <v>3519</v>
      </c>
      <c r="K17" s="321">
        <v>2000000</v>
      </c>
      <c r="L17" s="321">
        <v>1750000</v>
      </c>
      <c r="M17" s="321">
        <v>1300000</v>
      </c>
      <c r="N17" s="329">
        <f>'Assumptions (2)'!$B$26</f>
        <v>0.05</v>
      </c>
      <c r="O17" s="329">
        <f>'Assumptions (2)'!$B$29</f>
        <v>0.03</v>
      </c>
      <c r="P17" s="320">
        <f t="shared" si="0"/>
        <v>2163000</v>
      </c>
      <c r="Q17" s="320">
        <f t="shared" si="1"/>
        <v>1892625</v>
      </c>
      <c r="R17" s="320">
        <f t="shared" si="2"/>
        <v>1649287.5</v>
      </c>
      <c r="S17" s="320">
        <f t="shared" si="3"/>
        <v>1405950</v>
      </c>
      <c r="T17" s="22" t="s">
        <v>2806</v>
      </c>
      <c r="U17" s="22" t="s">
        <v>2813</v>
      </c>
      <c r="V17" s="22" t="s">
        <v>3182</v>
      </c>
      <c r="W17" s="316" t="s">
        <v>3555</v>
      </c>
    </row>
    <row r="18" spans="1:23" ht="23.25" customHeight="1" x14ac:dyDescent="0.35">
      <c r="A18" s="22" t="s">
        <v>3554</v>
      </c>
      <c r="B18" s="22" t="s">
        <v>2240</v>
      </c>
      <c r="C18" s="22" t="s">
        <v>3553</v>
      </c>
      <c r="D18" s="22" t="s">
        <v>3290</v>
      </c>
      <c r="E18" s="22" t="s">
        <v>3289</v>
      </c>
      <c r="F18" s="22" t="s">
        <v>3288</v>
      </c>
      <c r="G18" s="321">
        <v>1</v>
      </c>
      <c r="H18" s="22" t="s">
        <v>3287</v>
      </c>
      <c r="I18" s="316" t="s">
        <v>3552</v>
      </c>
      <c r="J18" s="22" t="s">
        <v>3490</v>
      </c>
      <c r="K18" s="321">
        <v>900000</v>
      </c>
      <c r="L18" s="321">
        <v>780000</v>
      </c>
      <c r="M18" s="321">
        <v>560000</v>
      </c>
      <c r="N18" s="329">
        <f>'Assumptions (2)'!$B$26</f>
        <v>0.05</v>
      </c>
      <c r="O18" s="329">
        <f>'Assumptions (2)'!$B$28</f>
        <v>0.02</v>
      </c>
      <c r="P18" s="320">
        <f t="shared" si="0"/>
        <v>963900</v>
      </c>
      <c r="Q18" s="320">
        <f t="shared" si="1"/>
        <v>835380</v>
      </c>
      <c r="R18" s="320">
        <f t="shared" si="2"/>
        <v>717570</v>
      </c>
      <c r="S18" s="320">
        <f t="shared" si="3"/>
        <v>599760</v>
      </c>
      <c r="T18" s="22" t="s">
        <v>2806</v>
      </c>
      <c r="U18" s="22" t="s">
        <v>2813</v>
      </c>
      <c r="V18" s="22" t="s">
        <v>3551</v>
      </c>
      <c r="W18" s="316" t="s">
        <v>3550</v>
      </c>
    </row>
    <row r="19" spans="1:23" ht="23.25" customHeight="1" x14ac:dyDescent="0.35">
      <c r="A19" s="22" t="s">
        <v>3549</v>
      </c>
      <c r="B19" s="22" t="s">
        <v>2240</v>
      </c>
      <c r="C19" s="22" t="s">
        <v>3548</v>
      </c>
      <c r="D19" s="22" t="s">
        <v>3290</v>
      </c>
      <c r="E19" s="22" t="s">
        <v>3289</v>
      </c>
      <c r="F19" s="22" t="s">
        <v>3288</v>
      </c>
      <c r="G19" s="321">
        <v>1</v>
      </c>
      <c r="H19" s="22" t="s">
        <v>3317</v>
      </c>
      <c r="I19" s="316" t="s">
        <v>3547</v>
      </c>
      <c r="J19" s="22" t="s">
        <v>3332</v>
      </c>
      <c r="K19" s="321">
        <v>3500000</v>
      </c>
      <c r="L19" s="321">
        <v>3150000</v>
      </c>
      <c r="M19" s="321">
        <v>2300000</v>
      </c>
      <c r="N19" s="329">
        <f>'Assumptions (2)'!$B$25</f>
        <v>0.18</v>
      </c>
      <c r="O19" s="329">
        <f>'Assumptions (2)'!$B$28</f>
        <v>0.02</v>
      </c>
      <c r="P19" s="320">
        <f t="shared" si="0"/>
        <v>4212600</v>
      </c>
      <c r="Q19" s="320">
        <f t="shared" si="1"/>
        <v>3791340</v>
      </c>
      <c r="R19" s="320">
        <f t="shared" si="2"/>
        <v>3279810</v>
      </c>
      <c r="S19" s="320">
        <f t="shared" si="3"/>
        <v>2768280</v>
      </c>
      <c r="T19" s="22" t="s">
        <v>2806</v>
      </c>
      <c r="U19" s="22" t="s">
        <v>3123</v>
      </c>
      <c r="V19" s="22" t="s">
        <v>3182</v>
      </c>
      <c r="W19" s="316" t="s">
        <v>3546</v>
      </c>
    </row>
    <row r="20" spans="1:23" ht="15" customHeight="1" x14ac:dyDescent="0.35">
      <c r="A20" s="22" t="s">
        <v>3545</v>
      </c>
      <c r="B20" s="22" t="s">
        <v>3462</v>
      </c>
      <c r="C20" s="22" t="s">
        <v>3544</v>
      </c>
      <c r="D20" s="22" t="s">
        <v>3290</v>
      </c>
      <c r="E20" s="22" t="s">
        <v>3289</v>
      </c>
      <c r="F20" s="22" t="s">
        <v>3288</v>
      </c>
      <c r="G20" s="321">
        <v>1</v>
      </c>
      <c r="H20" s="22" t="s">
        <v>3317</v>
      </c>
      <c r="I20" s="316" t="s">
        <v>3543</v>
      </c>
      <c r="J20" s="22" t="s">
        <v>3322</v>
      </c>
      <c r="K20" s="321">
        <v>1800000</v>
      </c>
      <c r="L20" s="321">
        <v>1600000</v>
      </c>
      <c r="M20" s="321">
        <v>1150000</v>
      </c>
      <c r="N20" s="329">
        <f>'Assumptions (2)'!$B$25</f>
        <v>0.18</v>
      </c>
      <c r="O20" s="329">
        <f>'Assumptions (2)'!$B$28</f>
        <v>0.02</v>
      </c>
      <c r="P20" s="320">
        <f t="shared" si="0"/>
        <v>2166480</v>
      </c>
      <c r="Q20" s="320">
        <f t="shared" si="1"/>
        <v>1925760</v>
      </c>
      <c r="R20" s="320">
        <f t="shared" si="2"/>
        <v>1654950</v>
      </c>
      <c r="S20" s="320">
        <f t="shared" si="3"/>
        <v>1384140</v>
      </c>
      <c r="T20" s="22" t="s">
        <v>2806</v>
      </c>
      <c r="U20" s="22" t="s">
        <v>3121</v>
      </c>
      <c r="V20" s="22" t="s">
        <v>3182</v>
      </c>
      <c r="W20" s="316"/>
    </row>
    <row r="21" spans="1:23" ht="15" customHeight="1" x14ac:dyDescent="0.35">
      <c r="A21" s="22" t="s">
        <v>3542</v>
      </c>
      <c r="B21" s="22" t="s">
        <v>2266</v>
      </c>
      <c r="C21" s="22" t="s">
        <v>3541</v>
      </c>
      <c r="D21" s="22" t="s">
        <v>3290</v>
      </c>
      <c r="E21" s="22" t="s">
        <v>3289</v>
      </c>
      <c r="F21" s="22" t="s">
        <v>3288</v>
      </c>
      <c r="G21" s="321">
        <v>1</v>
      </c>
      <c r="H21" s="22" t="s">
        <v>3287</v>
      </c>
      <c r="I21" s="316" t="s">
        <v>3540</v>
      </c>
      <c r="J21" s="22" t="s">
        <v>3490</v>
      </c>
      <c r="K21" s="321">
        <v>750000</v>
      </c>
      <c r="L21" s="321">
        <v>660000</v>
      </c>
      <c r="M21" s="321">
        <v>480000</v>
      </c>
      <c r="N21" s="329">
        <f>'Assumptions (2)'!$B$26</f>
        <v>0.05</v>
      </c>
      <c r="O21" s="329">
        <f>'Assumptions (2)'!$B$28</f>
        <v>0.02</v>
      </c>
      <c r="P21" s="320">
        <f t="shared" si="0"/>
        <v>803250</v>
      </c>
      <c r="Q21" s="320">
        <f t="shared" si="1"/>
        <v>706860</v>
      </c>
      <c r="R21" s="320">
        <f t="shared" si="2"/>
        <v>610470</v>
      </c>
      <c r="S21" s="320">
        <f t="shared" si="3"/>
        <v>514080</v>
      </c>
      <c r="T21" s="22" t="s">
        <v>2806</v>
      </c>
      <c r="U21" s="22" t="s">
        <v>2817</v>
      </c>
      <c r="V21" s="22" t="s">
        <v>3182</v>
      </c>
      <c r="W21" s="316"/>
    </row>
    <row r="22" spans="1:23" ht="15" customHeight="1" x14ac:dyDescent="0.35">
      <c r="A22" s="22" t="s">
        <v>4819</v>
      </c>
      <c r="B22" s="22" t="s">
        <v>2247</v>
      </c>
      <c r="C22" s="22" t="s">
        <v>4820</v>
      </c>
      <c r="D22" s="22" t="s">
        <v>3290</v>
      </c>
      <c r="E22" s="22" t="s">
        <v>3289</v>
      </c>
      <c r="F22" s="22" t="s">
        <v>3288</v>
      </c>
      <c r="G22" s="321">
        <v>1</v>
      </c>
      <c r="H22" s="22" t="s">
        <v>3340</v>
      </c>
      <c r="I22" s="316" t="s">
        <v>4821</v>
      </c>
      <c r="J22" s="22" t="s">
        <v>4822</v>
      </c>
      <c r="K22" s="321">
        <v>450000</v>
      </c>
      <c r="L22" s="321">
        <v>380000</v>
      </c>
      <c r="M22" s="321">
        <v>250000</v>
      </c>
      <c r="N22" s="329">
        <v>0.1</v>
      </c>
      <c r="O22" s="329">
        <v>0.02</v>
      </c>
      <c r="P22" s="320">
        <f>G22*K22*(1+N22)*(1+O22)</f>
        <v>504900.00000000006</v>
      </c>
      <c r="Q22" s="320">
        <f>G22*L22*(1+N22)*(1+O22)</f>
        <v>426360.00000000006</v>
      </c>
      <c r="R22" s="320">
        <f>(Q22+S22)/2</f>
        <v>353430</v>
      </c>
      <c r="S22" s="320">
        <f>G22*M22*(1+N22)*(1+O22)</f>
        <v>280500</v>
      </c>
      <c r="T22" s="22">
        <v>10</v>
      </c>
      <c r="U22" s="22">
        <v>10</v>
      </c>
      <c r="V22" s="22" t="s">
        <v>4818</v>
      </c>
      <c r="W22" s="316" t="s">
        <v>4823</v>
      </c>
    </row>
    <row r="23" spans="1:23" ht="23.25" customHeight="1" x14ac:dyDescent="0.35">
      <c r="A23" s="22" t="s">
        <v>3539</v>
      </c>
      <c r="B23" s="22" t="s">
        <v>2014</v>
      </c>
      <c r="C23" s="22" t="s">
        <v>3538</v>
      </c>
      <c r="D23" s="22" t="s">
        <v>3297</v>
      </c>
      <c r="E23" s="22" t="s">
        <v>3289</v>
      </c>
      <c r="F23" s="22" t="s">
        <v>3288</v>
      </c>
      <c r="G23" s="321">
        <v>1</v>
      </c>
      <c r="H23" s="22" t="s">
        <v>3287</v>
      </c>
      <c r="I23" s="316" t="s">
        <v>3537</v>
      </c>
      <c r="J23" s="22" t="s">
        <v>3441</v>
      </c>
      <c r="K23" s="321">
        <v>150000</v>
      </c>
      <c r="L23" s="321">
        <v>120000</v>
      </c>
      <c r="M23" s="321">
        <v>80000</v>
      </c>
      <c r="N23" s="329">
        <f>'Assumptions (2)'!$B$26</f>
        <v>0.05</v>
      </c>
      <c r="O23" s="329">
        <f>'Assumptions (2)'!$B$29</f>
        <v>0.03</v>
      </c>
      <c r="P23" s="320">
        <f t="shared" si="0"/>
        <v>162225</v>
      </c>
      <c r="Q23" s="320">
        <f t="shared" si="1"/>
        <v>129780</v>
      </c>
      <c r="R23" s="320">
        <f t="shared" si="2"/>
        <v>108150</v>
      </c>
      <c r="S23" s="320">
        <f t="shared" si="3"/>
        <v>86520</v>
      </c>
      <c r="T23" s="22" t="s">
        <v>2806</v>
      </c>
      <c r="U23" s="22" t="s">
        <v>2806</v>
      </c>
      <c r="V23" s="22" t="s">
        <v>3182</v>
      </c>
      <c r="W23" s="316"/>
    </row>
    <row r="24" spans="1:23" ht="15" customHeight="1" x14ac:dyDescent="0.35">
      <c r="C24" s="333" t="s">
        <v>3283</v>
      </c>
      <c r="P24" s="332">
        <f>SUM(P5:P23)</f>
        <v>62487994.411764704</v>
      </c>
      <c r="Q24" s="332">
        <f>SUM(Q5:Q23)</f>
        <v>55498210</v>
      </c>
      <c r="R24" s="332">
        <f>SUM(R5:R23)</f>
        <v>49260337.5</v>
      </c>
      <c r="S24" s="332">
        <f>SUM(S5:S23)</f>
        <v>43022465</v>
      </c>
    </row>
  </sheetData>
  <pageMargins left="0.75" right="0.75" top="1" bottom="1" header="0.511811023622047" footer="0.511811023622047"/>
  <pageSetup paperSize="9" orientation="portrait" horizontalDpi="300" verticalDpi="300"/>
  <legacy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01754-EBEB-4969-9C38-A0BDFF80E920}">
  <sheetPr>
    <tabColor rgb="FF2E86C1"/>
  </sheetPr>
  <dimension ref="A1:W15"/>
  <sheetViews>
    <sheetView zoomScaleNormal="100" workbookViewId="0">
      <pane xSplit="2" ySplit="4" topLeftCell="C5" activePane="bottomRight" state="frozen"/>
      <selection pane="topRight"/>
      <selection pane="bottomLeft"/>
      <selection pane="bottomRight"/>
    </sheetView>
  </sheetViews>
  <sheetFormatPr defaultColWidth="8.6328125" defaultRowHeight="14.5" x14ac:dyDescent="0.35"/>
  <cols>
    <col min="1" max="1" width="11" customWidth="1"/>
    <col min="2" max="2" width="14" customWidth="1"/>
    <col min="3" max="3" width="30" customWidth="1"/>
    <col min="4" max="4" width="16" customWidth="1"/>
    <col min="5" max="5" width="11" customWidth="1"/>
    <col min="6" max="6" width="9" customWidth="1"/>
    <col min="7" max="8" width="7" customWidth="1"/>
    <col min="9" max="9" width="34" customWidth="1"/>
    <col min="10" max="10" width="22" customWidth="1"/>
    <col min="11" max="13" width="13" customWidth="1"/>
    <col min="14" max="15" width="8" customWidth="1"/>
    <col min="16" max="19" width="13" customWidth="1"/>
    <col min="20" max="21" width="8" customWidth="1"/>
    <col min="22" max="22" width="13" customWidth="1"/>
    <col min="23" max="23" width="55" customWidth="1"/>
  </cols>
  <sheetData>
    <row r="1" spans="1:23" ht="17.25" customHeight="1" x14ac:dyDescent="0.4">
      <c r="A1" s="318" t="s">
        <v>3659</v>
      </c>
    </row>
    <row r="2" spans="1:23" ht="15" customHeight="1" x14ac:dyDescent="0.35">
      <c r="A2" s="331" t="s">
        <v>3658</v>
      </c>
    </row>
    <row r="4" spans="1:23" ht="23.25" customHeight="1" x14ac:dyDescent="0.35">
      <c r="A4" s="326" t="s">
        <v>3438</v>
      </c>
      <c r="B4" s="326" t="s">
        <v>1865</v>
      </c>
      <c r="C4" s="326" t="s">
        <v>3437</v>
      </c>
      <c r="D4" s="326" t="s">
        <v>3436</v>
      </c>
      <c r="E4" s="326" t="s">
        <v>3435</v>
      </c>
      <c r="F4" s="326" t="s">
        <v>3434</v>
      </c>
      <c r="G4" s="326" t="s">
        <v>3433</v>
      </c>
      <c r="H4" s="326" t="s">
        <v>1377</v>
      </c>
      <c r="I4" s="326" t="s">
        <v>3432</v>
      </c>
      <c r="J4" s="326" t="s">
        <v>3431</v>
      </c>
      <c r="K4" s="326" t="s">
        <v>3430</v>
      </c>
      <c r="L4" s="326" t="s">
        <v>3429</v>
      </c>
      <c r="M4" s="326" t="s">
        <v>3428</v>
      </c>
      <c r="N4" s="326" t="s">
        <v>3427</v>
      </c>
      <c r="O4" s="326" t="s">
        <v>3265</v>
      </c>
      <c r="P4" s="326" t="s">
        <v>3426</v>
      </c>
      <c r="Q4" s="326" t="s">
        <v>3425</v>
      </c>
      <c r="R4" s="326" t="s">
        <v>3424</v>
      </c>
      <c r="S4" s="326" t="s">
        <v>3423</v>
      </c>
      <c r="T4" s="326" t="s">
        <v>3422</v>
      </c>
      <c r="U4" s="326" t="s">
        <v>3421</v>
      </c>
      <c r="V4" s="326" t="s">
        <v>3220</v>
      </c>
      <c r="W4" s="326" t="s">
        <v>3420</v>
      </c>
    </row>
    <row r="5" spans="1:23" ht="23.25" customHeight="1" x14ac:dyDescent="0.35">
      <c r="A5" s="22" t="s">
        <v>3657</v>
      </c>
      <c r="B5" s="22" t="s">
        <v>3630</v>
      </c>
      <c r="C5" s="22" t="s">
        <v>3656</v>
      </c>
      <c r="D5" s="22" t="s">
        <v>3290</v>
      </c>
      <c r="E5" s="22" t="s">
        <v>3289</v>
      </c>
      <c r="F5" s="22" t="s">
        <v>3288</v>
      </c>
      <c r="G5" s="321">
        <v>1</v>
      </c>
      <c r="H5" s="22" t="s">
        <v>3317</v>
      </c>
      <c r="I5" s="316" t="s">
        <v>3655</v>
      </c>
      <c r="J5" s="22" t="s">
        <v>3332</v>
      </c>
      <c r="K5" s="321">
        <v>2800000</v>
      </c>
      <c r="L5" s="321">
        <v>2550000</v>
      </c>
      <c r="M5" s="321">
        <v>1900000</v>
      </c>
      <c r="N5" s="329">
        <f>'Assumptions (2)'!$B$25</f>
        <v>0.18</v>
      </c>
      <c r="O5" s="329">
        <f>'Assumptions (2)'!$B$28</f>
        <v>0.02</v>
      </c>
      <c r="P5" s="320">
        <f t="shared" ref="P5:P14" si="0">G5*K5*(1+N5)*(1+O5)</f>
        <v>3370080</v>
      </c>
      <c r="Q5" s="320">
        <f t="shared" ref="Q5:Q14" si="1">G5*L5*(1+N5)*(1+O5)</f>
        <v>3069180</v>
      </c>
      <c r="R5" s="320">
        <f t="shared" ref="R5:R14" si="2">(Q5+S5)/2</f>
        <v>2678010</v>
      </c>
      <c r="S5" s="320">
        <f t="shared" ref="S5:S14" si="3">G5*M5*(1+N5)*(1+O5)</f>
        <v>2286840</v>
      </c>
      <c r="T5" s="22" t="s">
        <v>2806</v>
      </c>
      <c r="U5" s="22" t="s">
        <v>3123</v>
      </c>
      <c r="V5" s="22" t="s">
        <v>3182</v>
      </c>
      <c r="W5" s="316" t="s">
        <v>3654</v>
      </c>
    </row>
    <row r="6" spans="1:23" ht="23.25" customHeight="1" x14ac:dyDescent="0.35">
      <c r="A6" s="22" t="s">
        <v>3653</v>
      </c>
      <c r="B6" s="22" t="s">
        <v>3630</v>
      </c>
      <c r="C6" s="22" t="s">
        <v>3652</v>
      </c>
      <c r="D6" s="22" t="s">
        <v>3651</v>
      </c>
      <c r="E6" s="22" t="s">
        <v>3289</v>
      </c>
      <c r="F6" s="22" t="s">
        <v>3309</v>
      </c>
      <c r="G6" s="321">
        <v>1</v>
      </c>
      <c r="H6" s="22" t="s">
        <v>3317</v>
      </c>
      <c r="I6" s="316" t="s">
        <v>3650</v>
      </c>
      <c r="J6" s="22" t="s">
        <v>3649</v>
      </c>
      <c r="K6" s="321">
        <v>1500000</v>
      </c>
      <c r="L6" s="321">
        <v>600000</v>
      </c>
      <c r="M6" s="321">
        <v>220000</v>
      </c>
      <c r="N6" s="329">
        <f>'Assumptions (2)'!$B$25</f>
        <v>0.18</v>
      </c>
      <c r="O6" s="329">
        <f>'Assumptions (2)'!$B$28</f>
        <v>0.02</v>
      </c>
      <c r="P6" s="320">
        <f t="shared" si="0"/>
        <v>1805400</v>
      </c>
      <c r="Q6" s="320">
        <f t="shared" si="1"/>
        <v>722160</v>
      </c>
      <c r="R6" s="320">
        <f t="shared" si="2"/>
        <v>493476</v>
      </c>
      <c r="S6" s="320">
        <f t="shared" si="3"/>
        <v>264792</v>
      </c>
      <c r="T6" s="22" t="s">
        <v>3121</v>
      </c>
      <c r="U6" s="22" t="s">
        <v>3121</v>
      </c>
      <c r="V6" s="22" t="s">
        <v>3133</v>
      </c>
      <c r="W6" s="316" t="s">
        <v>3648</v>
      </c>
    </row>
    <row r="7" spans="1:23" ht="15" customHeight="1" x14ac:dyDescent="0.35">
      <c r="A7" s="22" t="s">
        <v>3647</v>
      </c>
      <c r="B7" s="22" t="s">
        <v>3630</v>
      </c>
      <c r="C7" s="22" t="s">
        <v>3646</v>
      </c>
      <c r="D7" s="22" t="s">
        <v>3290</v>
      </c>
      <c r="E7" s="22" t="s">
        <v>3289</v>
      </c>
      <c r="F7" s="22" t="s">
        <v>3288</v>
      </c>
      <c r="G7" s="321">
        <v>1</v>
      </c>
      <c r="H7" s="22" t="s">
        <v>3287</v>
      </c>
      <c r="I7" s="316" t="s">
        <v>3645</v>
      </c>
      <c r="J7" s="22" t="s">
        <v>3644</v>
      </c>
      <c r="K7" s="321">
        <v>600000</v>
      </c>
      <c r="L7" s="321">
        <v>520000</v>
      </c>
      <c r="M7" s="321">
        <v>380000</v>
      </c>
      <c r="N7" s="329">
        <f>'Assumptions (2)'!$B$25</f>
        <v>0.18</v>
      </c>
      <c r="O7" s="329">
        <f>'Assumptions (2)'!$B$28</f>
        <v>0.02</v>
      </c>
      <c r="P7" s="320">
        <f t="shared" si="0"/>
        <v>722160</v>
      </c>
      <c r="Q7" s="320">
        <f t="shared" si="1"/>
        <v>625872</v>
      </c>
      <c r="R7" s="320">
        <f t="shared" si="2"/>
        <v>541620</v>
      </c>
      <c r="S7" s="320">
        <f t="shared" si="3"/>
        <v>457368</v>
      </c>
      <c r="T7" s="22" t="s">
        <v>2806</v>
      </c>
      <c r="U7" s="22" t="s">
        <v>2821</v>
      </c>
      <c r="V7" s="22" t="s">
        <v>3182</v>
      </c>
      <c r="W7" s="316"/>
    </row>
    <row r="8" spans="1:23" ht="15" customHeight="1" x14ac:dyDescent="0.35">
      <c r="A8" s="22" t="s">
        <v>3643</v>
      </c>
      <c r="B8" s="22" t="s">
        <v>3630</v>
      </c>
      <c r="C8" s="22" t="s">
        <v>3642</v>
      </c>
      <c r="D8" s="22" t="s">
        <v>3290</v>
      </c>
      <c r="E8" s="22" t="s">
        <v>3289</v>
      </c>
      <c r="F8" s="22" t="s">
        <v>3288</v>
      </c>
      <c r="G8" s="321">
        <v>1</v>
      </c>
      <c r="H8" s="22" t="s">
        <v>3317</v>
      </c>
      <c r="I8" s="316" t="s">
        <v>3641</v>
      </c>
      <c r="J8" s="22" t="s">
        <v>3640</v>
      </c>
      <c r="K8" s="321">
        <v>450000</v>
      </c>
      <c r="L8" s="321">
        <v>400000</v>
      </c>
      <c r="M8" s="321">
        <v>290000</v>
      </c>
      <c r="N8" s="329">
        <f>'Assumptions (2)'!$B$26</f>
        <v>0.05</v>
      </c>
      <c r="O8" s="329">
        <f>'Assumptions (2)'!$B$28</f>
        <v>0.02</v>
      </c>
      <c r="P8" s="320">
        <f t="shared" si="0"/>
        <v>481950</v>
      </c>
      <c r="Q8" s="320">
        <f t="shared" si="1"/>
        <v>428400</v>
      </c>
      <c r="R8" s="320">
        <f t="shared" si="2"/>
        <v>369495</v>
      </c>
      <c r="S8" s="320">
        <f t="shared" si="3"/>
        <v>310590</v>
      </c>
      <c r="T8" s="22" t="s">
        <v>2806</v>
      </c>
      <c r="U8" s="22" t="s">
        <v>2813</v>
      </c>
      <c r="V8" s="22" t="s">
        <v>3182</v>
      </c>
      <c r="W8" s="316"/>
    </row>
    <row r="9" spans="1:23" ht="23.25" customHeight="1" x14ac:dyDescent="0.35">
      <c r="A9" s="22" t="s">
        <v>3639</v>
      </c>
      <c r="B9" s="22" t="s">
        <v>3630</v>
      </c>
      <c r="C9" s="22" t="s">
        <v>3638</v>
      </c>
      <c r="D9" s="22" t="s">
        <v>3369</v>
      </c>
      <c r="E9" s="22" t="s">
        <v>3289</v>
      </c>
      <c r="F9" s="22" t="s">
        <v>3309</v>
      </c>
      <c r="G9" s="321">
        <v>1</v>
      </c>
      <c r="H9" s="22" t="s">
        <v>3317</v>
      </c>
      <c r="I9" s="316" t="s">
        <v>3637</v>
      </c>
      <c r="J9" s="22" t="s">
        <v>3636</v>
      </c>
      <c r="K9" s="328">
        <f>Fabrication!$U$16</f>
        <v>722820</v>
      </c>
      <c r="L9" s="321">
        <v>380000</v>
      </c>
      <c r="M9" s="321">
        <v>160000</v>
      </c>
      <c r="N9" s="325">
        <v>0</v>
      </c>
      <c r="O9" s="325">
        <v>0</v>
      </c>
      <c r="P9" s="320">
        <f t="shared" si="0"/>
        <v>722820</v>
      </c>
      <c r="Q9" s="320">
        <f t="shared" si="1"/>
        <v>380000</v>
      </c>
      <c r="R9" s="320">
        <f t="shared" si="2"/>
        <v>270000</v>
      </c>
      <c r="S9" s="320">
        <f t="shared" si="3"/>
        <v>160000</v>
      </c>
      <c r="T9" s="22" t="s">
        <v>2806</v>
      </c>
      <c r="U9" s="22" t="s">
        <v>2817</v>
      </c>
      <c r="V9" s="22" t="s">
        <v>3133</v>
      </c>
      <c r="W9" s="316" t="s">
        <v>3635</v>
      </c>
    </row>
    <row r="10" spans="1:23" ht="15" customHeight="1" x14ac:dyDescent="0.35">
      <c r="A10" s="22" t="s">
        <v>3634</v>
      </c>
      <c r="B10" s="22" t="s">
        <v>3630</v>
      </c>
      <c r="C10" s="22" t="s">
        <v>3633</v>
      </c>
      <c r="D10" s="22" t="s">
        <v>3290</v>
      </c>
      <c r="E10" s="22" t="s">
        <v>3289</v>
      </c>
      <c r="F10" s="22" t="s">
        <v>3288</v>
      </c>
      <c r="G10" s="321">
        <v>1</v>
      </c>
      <c r="H10" s="22" t="s">
        <v>3287</v>
      </c>
      <c r="I10" s="316" t="s">
        <v>3632</v>
      </c>
      <c r="J10" s="22" t="s">
        <v>3490</v>
      </c>
      <c r="K10" s="321">
        <v>350000</v>
      </c>
      <c r="L10" s="321">
        <v>300000</v>
      </c>
      <c r="M10" s="321">
        <v>210000</v>
      </c>
      <c r="N10" s="329">
        <f>'Assumptions (2)'!$B$25</f>
        <v>0.18</v>
      </c>
      <c r="O10" s="329">
        <f>'Assumptions (2)'!$B$28</f>
        <v>0.02</v>
      </c>
      <c r="P10" s="320">
        <f t="shared" si="0"/>
        <v>421260</v>
      </c>
      <c r="Q10" s="320">
        <f t="shared" si="1"/>
        <v>361080</v>
      </c>
      <c r="R10" s="320">
        <f t="shared" si="2"/>
        <v>306918</v>
      </c>
      <c r="S10" s="320">
        <f t="shared" si="3"/>
        <v>252756</v>
      </c>
      <c r="T10" s="22" t="s">
        <v>2806</v>
      </c>
      <c r="U10" s="22" t="s">
        <v>2817</v>
      </c>
      <c r="V10" s="22" t="s">
        <v>3182</v>
      </c>
      <c r="W10" s="316"/>
    </row>
    <row r="11" spans="1:23" ht="15" customHeight="1" x14ac:dyDescent="0.35">
      <c r="A11" s="22" t="s">
        <v>3631</v>
      </c>
      <c r="B11" s="22" t="s">
        <v>3630</v>
      </c>
      <c r="C11" s="22" t="s">
        <v>3629</v>
      </c>
      <c r="D11" s="22" t="s">
        <v>3310</v>
      </c>
      <c r="E11" s="22" t="s">
        <v>3289</v>
      </c>
      <c r="F11" s="22" t="s">
        <v>3288</v>
      </c>
      <c r="G11" s="321">
        <v>1</v>
      </c>
      <c r="H11" s="22" t="s">
        <v>3287</v>
      </c>
      <c r="I11" s="316" t="s">
        <v>3628</v>
      </c>
      <c r="J11" s="22" t="s">
        <v>3301</v>
      </c>
      <c r="K11" s="321">
        <v>250000</v>
      </c>
      <c r="L11" s="321">
        <v>210000</v>
      </c>
      <c r="M11" s="321">
        <v>140000</v>
      </c>
      <c r="N11" s="329">
        <f>'Assumptions (2)'!$B$26</f>
        <v>0.05</v>
      </c>
      <c r="O11" s="329">
        <f>'Assumptions (2)'!$B$29</f>
        <v>0.03</v>
      </c>
      <c r="P11" s="320">
        <f t="shared" si="0"/>
        <v>270375</v>
      </c>
      <c r="Q11" s="320">
        <f t="shared" si="1"/>
        <v>227115</v>
      </c>
      <c r="R11" s="320">
        <f t="shared" si="2"/>
        <v>189262.5</v>
      </c>
      <c r="S11" s="320">
        <f t="shared" si="3"/>
        <v>151410</v>
      </c>
      <c r="T11" s="22" t="s">
        <v>2806</v>
      </c>
      <c r="U11" s="22" t="s">
        <v>2806</v>
      </c>
      <c r="V11" s="22" t="s">
        <v>3182</v>
      </c>
      <c r="W11" s="316"/>
    </row>
    <row r="12" spans="1:23" ht="23.25" customHeight="1" x14ac:dyDescent="0.35">
      <c r="A12" s="22" t="s">
        <v>3627</v>
      </c>
      <c r="B12" s="22" t="s">
        <v>3621</v>
      </c>
      <c r="C12" s="22" t="s">
        <v>3626</v>
      </c>
      <c r="D12" s="22" t="s">
        <v>3369</v>
      </c>
      <c r="E12" s="22" t="s">
        <v>3289</v>
      </c>
      <c r="F12" s="22" t="s">
        <v>3309</v>
      </c>
      <c r="G12" s="321">
        <v>1</v>
      </c>
      <c r="H12" s="22" t="s">
        <v>3317</v>
      </c>
      <c r="I12" s="316" t="s">
        <v>3625</v>
      </c>
      <c r="J12" s="22" t="s">
        <v>3624</v>
      </c>
      <c r="K12" s="328">
        <f>Fabrication!$U$17</f>
        <v>198320</v>
      </c>
      <c r="L12" s="321">
        <v>120000</v>
      </c>
      <c r="M12" s="321">
        <v>70000</v>
      </c>
      <c r="N12" s="325">
        <v>0</v>
      </c>
      <c r="O12" s="325">
        <v>0</v>
      </c>
      <c r="P12" s="320">
        <f t="shared" si="0"/>
        <v>198320</v>
      </c>
      <c r="Q12" s="320">
        <f t="shared" si="1"/>
        <v>120000</v>
      </c>
      <c r="R12" s="320">
        <f t="shared" si="2"/>
        <v>95000</v>
      </c>
      <c r="S12" s="320">
        <f t="shared" si="3"/>
        <v>70000</v>
      </c>
      <c r="T12" s="22" t="s">
        <v>2806</v>
      </c>
      <c r="U12" s="22" t="s">
        <v>2813</v>
      </c>
      <c r="V12" s="22" t="s">
        <v>3551</v>
      </c>
      <c r="W12" s="316" t="s">
        <v>3623</v>
      </c>
    </row>
    <row r="13" spans="1:23" ht="15" customHeight="1" x14ac:dyDescent="0.35">
      <c r="A13" s="22" t="s">
        <v>3622</v>
      </c>
      <c r="B13" s="22" t="s">
        <v>3621</v>
      </c>
      <c r="C13" s="22" t="s">
        <v>3620</v>
      </c>
      <c r="D13" s="22" t="s">
        <v>3290</v>
      </c>
      <c r="E13" s="22" t="s">
        <v>3289</v>
      </c>
      <c r="F13" s="22" t="s">
        <v>3288</v>
      </c>
      <c r="G13" s="321">
        <v>1</v>
      </c>
      <c r="H13" s="22" t="s">
        <v>3317</v>
      </c>
      <c r="I13" s="316" t="s">
        <v>3619</v>
      </c>
      <c r="J13" s="22" t="s">
        <v>3618</v>
      </c>
      <c r="K13" s="321">
        <v>2200000</v>
      </c>
      <c r="L13" s="321">
        <v>2100000</v>
      </c>
      <c r="M13" s="321">
        <v>1800000</v>
      </c>
      <c r="N13" s="329">
        <f>'Assumptions (2)'!$B$26</f>
        <v>0.05</v>
      </c>
      <c r="O13" s="329">
        <f>'Assumptions (2)'!$B$28</f>
        <v>0.02</v>
      </c>
      <c r="P13" s="320">
        <f t="shared" si="0"/>
        <v>2356200</v>
      </c>
      <c r="Q13" s="320">
        <f t="shared" si="1"/>
        <v>2249100</v>
      </c>
      <c r="R13" s="320">
        <f t="shared" si="2"/>
        <v>2088450</v>
      </c>
      <c r="S13" s="320">
        <f t="shared" si="3"/>
        <v>1927800</v>
      </c>
      <c r="T13" s="22" t="s">
        <v>2806</v>
      </c>
      <c r="U13" s="22" t="s">
        <v>2806</v>
      </c>
      <c r="V13" s="22" t="s">
        <v>3182</v>
      </c>
      <c r="W13" s="316" t="s">
        <v>3617</v>
      </c>
    </row>
    <row r="14" spans="1:23" ht="15" customHeight="1" x14ac:dyDescent="0.35">
      <c r="A14" s="22" t="s">
        <v>3616</v>
      </c>
      <c r="B14" s="22" t="s">
        <v>3615</v>
      </c>
      <c r="C14" s="22" t="s">
        <v>3614</v>
      </c>
      <c r="D14" s="22" t="s">
        <v>3297</v>
      </c>
      <c r="E14" s="22" t="s">
        <v>3296</v>
      </c>
      <c r="F14" s="22" t="s">
        <v>3288</v>
      </c>
      <c r="G14" s="321">
        <v>1</v>
      </c>
      <c r="H14" s="22" t="s">
        <v>3287</v>
      </c>
      <c r="I14" s="316" t="s">
        <v>3613</v>
      </c>
      <c r="J14" s="22" t="s">
        <v>3612</v>
      </c>
      <c r="K14" s="321">
        <v>300000</v>
      </c>
      <c r="L14" s="321">
        <v>250000</v>
      </c>
      <c r="M14" s="321">
        <v>180000</v>
      </c>
      <c r="N14" s="329">
        <f>'Assumptions (2)'!$B$26</f>
        <v>0.05</v>
      </c>
      <c r="O14" s="329">
        <f>'Assumptions (2)'!$B$28</f>
        <v>0.02</v>
      </c>
      <c r="P14" s="320">
        <f t="shared" si="0"/>
        <v>321300</v>
      </c>
      <c r="Q14" s="320">
        <f t="shared" si="1"/>
        <v>267750</v>
      </c>
      <c r="R14" s="320">
        <f t="shared" si="2"/>
        <v>230265</v>
      </c>
      <c r="S14" s="320">
        <f t="shared" si="3"/>
        <v>192780</v>
      </c>
      <c r="T14" s="22" t="s">
        <v>2806</v>
      </c>
      <c r="U14" s="22" t="s">
        <v>2813</v>
      </c>
      <c r="V14" s="22" t="s">
        <v>3133</v>
      </c>
      <c r="W14" s="316" t="s">
        <v>3611</v>
      </c>
    </row>
    <row r="15" spans="1:23" ht="15" customHeight="1" x14ac:dyDescent="0.35">
      <c r="C15" s="333" t="s">
        <v>3283</v>
      </c>
      <c r="P15" s="332">
        <f>SUM(P5:P14)</f>
        <v>10669865</v>
      </c>
      <c r="Q15" s="332">
        <f>SUM(Q5:Q14)</f>
        <v>8450657</v>
      </c>
      <c r="R15" s="332">
        <f>SUM(R5:R14)</f>
        <v>7262496.5</v>
      </c>
      <c r="S15" s="332">
        <f>SUM(S5:S14)</f>
        <v>6074336</v>
      </c>
    </row>
  </sheetData>
  <pageMargins left="0.75" right="0.75" top="1" bottom="1"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7AC0A-5954-44C2-8717-D582CFFC6BBF}">
  <sheetPr>
    <tabColor rgb="FF2E86C1"/>
  </sheetPr>
  <dimension ref="A1:V17"/>
  <sheetViews>
    <sheetView zoomScaleNormal="100" workbookViewId="0">
      <pane xSplit="1" ySplit="4" topLeftCell="B5" activePane="bottomRight" state="frozen"/>
      <selection pane="topRight"/>
      <selection pane="bottomLeft"/>
      <selection pane="bottomRight"/>
    </sheetView>
  </sheetViews>
  <sheetFormatPr defaultColWidth="8.6328125" defaultRowHeight="14.5" x14ac:dyDescent="0.35"/>
  <cols>
    <col min="1" max="1" width="34" customWidth="1"/>
    <col min="2" max="2" width="16" customWidth="1"/>
    <col min="3" max="3" width="18" customWidth="1"/>
    <col min="4" max="5" width="8" customWidth="1"/>
    <col min="6" max="6" width="9" customWidth="1"/>
    <col min="7" max="8" width="13" customWidth="1"/>
    <col min="9" max="9" width="9" customWidth="1"/>
    <col min="10" max="11" width="12" customWidth="1"/>
    <col min="12" max="12" width="8" customWidth="1"/>
    <col min="13" max="14" width="11" customWidth="1"/>
    <col min="15" max="15" width="12" customWidth="1"/>
    <col min="16" max="16" width="8" customWidth="1"/>
    <col min="17" max="17" width="11" customWidth="1"/>
    <col min="18" max="18" width="7" customWidth="1"/>
    <col min="19" max="19" width="10" customWidth="1"/>
    <col min="20" max="20" width="11" customWidth="1"/>
    <col min="21" max="21" width="14" customWidth="1"/>
    <col min="22" max="22" width="60" customWidth="1"/>
  </cols>
  <sheetData>
    <row r="1" spans="1:22" ht="17.25" customHeight="1" x14ac:dyDescent="0.4">
      <c r="A1" s="318" t="s">
        <v>3282</v>
      </c>
    </row>
    <row r="2" spans="1:22" ht="15" customHeight="1" x14ac:dyDescent="0.35">
      <c r="A2" s="331" t="s">
        <v>3281</v>
      </c>
    </row>
    <row r="4" spans="1:22" ht="23.25" customHeight="1" x14ac:dyDescent="0.35">
      <c r="A4" s="326" t="s">
        <v>3280</v>
      </c>
      <c r="B4" s="326" t="s">
        <v>3279</v>
      </c>
      <c r="C4" s="326" t="s">
        <v>3278</v>
      </c>
      <c r="D4" s="326" t="s">
        <v>3277</v>
      </c>
      <c r="E4" s="326" t="s">
        <v>3276</v>
      </c>
      <c r="F4" s="326" t="s">
        <v>3275</v>
      </c>
      <c r="G4" s="326" t="s">
        <v>3274</v>
      </c>
      <c r="H4" s="326" t="s">
        <v>3273</v>
      </c>
      <c r="I4" s="326" t="s">
        <v>3272</v>
      </c>
      <c r="J4" s="326" t="s">
        <v>3271</v>
      </c>
      <c r="K4" s="326" t="s">
        <v>3270</v>
      </c>
      <c r="L4" s="326" t="s">
        <v>3269</v>
      </c>
      <c r="M4" s="326" t="s">
        <v>3268</v>
      </c>
      <c r="N4" s="326" t="s">
        <v>3267</v>
      </c>
      <c r="O4" s="326" t="s">
        <v>3266</v>
      </c>
      <c r="P4" s="326" t="s">
        <v>3265</v>
      </c>
      <c r="Q4" s="326" t="s">
        <v>3264</v>
      </c>
      <c r="R4" s="326" t="s">
        <v>3263</v>
      </c>
      <c r="S4" s="326" t="s">
        <v>3262</v>
      </c>
      <c r="T4" s="326" t="s">
        <v>3261</v>
      </c>
      <c r="U4" s="326" t="s">
        <v>3260</v>
      </c>
      <c r="V4" s="326" t="s">
        <v>3259</v>
      </c>
    </row>
    <row r="5" spans="1:22" ht="23.25" customHeight="1" x14ac:dyDescent="0.35">
      <c r="A5" s="317" t="s">
        <v>3258</v>
      </c>
      <c r="B5" s="22" t="s">
        <v>3249</v>
      </c>
      <c r="C5" s="22" t="s">
        <v>3255</v>
      </c>
      <c r="D5" s="324">
        <v>0.9</v>
      </c>
      <c r="E5" s="330">
        <v>0.25</v>
      </c>
      <c r="F5" s="319">
        <f t="shared" ref="F5:F17" si="0">D5/E5</f>
        <v>3.6</v>
      </c>
      <c r="G5" s="328">
        <f>'Assumptions (2)'!$B$21</f>
        <v>180000</v>
      </c>
      <c r="H5" s="320">
        <f t="shared" ref="H5:H17" si="1">F5*G5</f>
        <v>648000</v>
      </c>
      <c r="I5" s="324">
        <v>2</v>
      </c>
      <c r="J5" s="328">
        <f>'Assumptions (2)'!$B$10</f>
        <v>350000</v>
      </c>
      <c r="K5" s="320">
        <f t="shared" ref="K5:K17" si="2">I5*J5</f>
        <v>700000</v>
      </c>
      <c r="L5" s="324">
        <v>0.5</v>
      </c>
      <c r="M5" s="328">
        <f>'Assumptions (2)'!$B$14</f>
        <v>60000</v>
      </c>
      <c r="N5" s="320">
        <f t="shared" ref="N5:N17" si="3">L5*M5</f>
        <v>30000</v>
      </c>
      <c r="O5" s="321">
        <v>50000</v>
      </c>
      <c r="P5" s="329">
        <f>'Assumptions (2)'!$B$27</f>
        <v>0.08</v>
      </c>
      <c r="Q5" s="320">
        <f t="shared" ref="Q5:Q17" si="4">H5*P5</f>
        <v>51840</v>
      </c>
      <c r="R5" s="324">
        <v>0.25</v>
      </c>
      <c r="S5" s="328">
        <f>'Assumptions (2)'!$B$9</f>
        <v>90000</v>
      </c>
      <c r="T5" s="320">
        <f t="shared" ref="T5:T17" si="5">R5*S5</f>
        <v>22500</v>
      </c>
      <c r="U5" s="327">
        <f t="shared" ref="U5:U17" si="6">H5+K5+N5+O5+Q5+T5</f>
        <v>1502340</v>
      </c>
      <c r="V5" s="316" t="s">
        <v>3257</v>
      </c>
    </row>
    <row r="6" spans="1:22" ht="15" customHeight="1" x14ac:dyDescent="0.35">
      <c r="A6" s="317" t="s">
        <v>3256</v>
      </c>
      <c r="B6" s="22" t="s">
        <v>3249</v>
      </c>
      <c r="C6" s="22" t="s">
        <v>3255</v>
      </c>
      <c r="D6" s="324">
        <v>1.2</v>
      </c>
      <c r="E6" s="330">
        <v>0.22</v>
      </c>
      <c r="F6" s="319">
        <f t="shared" si="0"/>
        <v>5.4545454545454541</v>
      </c>
      <c r="G6" s="328">
        <f>'Assumptions (2)'!$B$21</f>
        <v>180000</v>
      </c>
      <c r="H6" s="320">
        <f t="shared" si="1"/>
        <v>981818.18181818177</v>
      </c>
      <c r="I6" s="324">
        <v>2.5</v>
      </c>
      <c r="J6" s="328">
        <f>'Assumptions (2)'!$B$10</f>
        <v>350000</v>
      </c>
      <c r="K6" s="320">
        <f t="shared" si="2"/>
        <v>875000</v>
      </c>
      <c r="L6" s="324">
        <v>0.5</v>
      </c>
      <c r="M6" s="328">
        <f>'Assumptions (2)'!$B$14</f>
        <v>60000</v>
      </c>
      <c r="N6" s="320">
        <f t="shared" si="3"/>
        <v>30000</v>
      </c>
      <c r="O6" s="321">
        <v>60000</v>
      </c>
      <c r="P6" s="329">
        <f>'Assumptions (2)'!$B$27</f>
        <v>0.08</v>
      </c>
      <c r="Q6" s="320">
        <f t="shared" si="4"/>
        <v>78545.454545454544</v>
      </c>
      <c r="R6" s="324">
        <v>0.25</v>
      </c>
      <c r="S6" s="328">
        <f>'Assumptions (2)'!$B$9</f>
        <v>90000</v>
      </c>
      <c r="T6" s="320">
        <f t="shared" si="5"/>
        <v>22500</v>
      </c>
      <c r="U6" s="327">
        <f t="shared" si="6"/>
        <v>2047863.6363636362</v>
      </c>
      <c r="V6" s="316" t="s">
        <v>3254</v>
      </c>
    </row>
    <row r="7" spans="1:22" ht="15" customHeight="1" x14ac:dyDescent="0.35">
      <c r="A7" s="317" t="s">
        <v>3253</v>
      </c>
      <c r="B7" s="22" t="s">
        <v>3249</v>
      </c>
      <c r="C7" s="22" t="s">
        <v>3252</v>
      </c>
      <c r="D7" s="324">
        <v>0.24</v>
      </c>
      <c r="E7" s="330">
        <v>0.6</v>
      </c>
      <c r="F7" s="319">
        <f t="shared" si="0"/>
        <v>0.4</v>
      </c>
      <c r="G7" s="328">
        <f>'Assumptions (2)'!$B$18</f>
        <v>95000</v>
      </c>
      <c r="H7" s="320">
        <f t="shared" si="1"/>
        <v>38000</v>
      </c>
      <c r="I7" s="324">
        <v>0.6</v>
      </c>
      <c r="J7" s="328">
        <f>'Assumptions (2)'!$B$10</f>
        <v>350000</v>
      </c>
      <c r="K7" s="320">
        <f t="shared" si="2"/>
        <v>210000</v>
      </c>
      <c r="L7" s="324">
        <v>0.25</v>
      </c>
      <c r="M7" s="328">
        <f>'Assumptions (2)'!$B$14</f>
        <v>60000</v>
      </c>
      <c r="N7" s="320">
        <f t="shared" si="3"/>
        <v>15000</v>
      </c>
      <c r="O7" s="321">
        <v>30000</v>
      </c>
      <c r="P7" s="329">
        <f>'Assumptions (2)'!$B$27</f>
        <v>0.08</v>
      </c>
      <c r="Q7" s="320">
        <f t="shared" si="4"/>
        <v>3040</v>
      </c>
      <c r="R7" s="324">
        <v>0.12</v>
      </c>
      <c r="S7" s="328">
        <f>'Assumptions (2)'!$B$9</f>
        <v>90000</v>
      </c>
      <c r="T7" s="320">
        <f t="shared" si="5"/>
        <v>10800</v>
      </c>
      <c r="U7" s="327">
        <f t="shared" si="6"/>
        <v>306840</v>
      </c>
      <c r="V7" s="316" t="s">
        <v>3251</v>
      </c>
    </row>
    <row r="8" spans="1:22" ht="15" customHeight="1" x14ac:dyDescent="0.35">
      <c r="A8" s="317" t="s">
        <v>3250</v>
      </c>
      <c r="B8" s="22" t="s">
        <v>3249</v>
      </c>
      <c r="C8" s="22" t="s">
        <v>3230</v>
      </c>
      <c r="D8" s="324">
        <v>0.35</v>
      </c>
      <c r="E8" s="330">
        <v>0.7</v>
      </c>
      <c r="F8" s="319">
        <f t="shared" si="0"/>
        <v>0.5</v>
      </c>
      <c r="G8" s="328">
        <f>'Assumptions (2)'!$B$20</f>
        <v>145000</v>
      </c>
      <c r="H8" s="320">
        <f t="shared" si="1"/>
        <v>72500</v>
      </c>
      <c r="I8" s="324">
        <v>0.4</v>
      </c>
      <c r="J8" s="328">
        <f>'Assumptions (2)'!$B$11</f>
        <v>250000</v>
      </c>
      <c r="K8" s="320">
        <f t="shared" si="2"/>
        <v>100000</v>
      </c>
      <c r="L8" s="324">
        <v>0.3</v>
      </c>
      <c r="M8" s="328">
        <f>'Assumptions (2)'!$B$14</f>
        <v>60000</v>
      </c>
      <c r="N8" s="320">
        <f t="shared" si="3"/>
        <v>18000</v>
      </c>
      <c r="O8" s="321">
        <v>120000</v>
      </c>
      <c r="P8" s="329">
        <f>'Assumptions (2)'!$B$27</f>
        <v>0.08</v>
      </c>
      <c r="Q8" s="320">
        <f t="shared" si="4"/>
        <v>5800</v>
      </c>
      <c r="R8" s="324">
        <v>0.12</v>
      </c>
      <c r="S8" s="328">
        <f>'Assumptions (2)'!$B$9</f>
        <v>90000</v>
      </c>
      <c r="T8" s="320">
        <f t="shared" si="5"/>
        <v>10800</v>
      </c>
      <c r="U8" s="327">
        <f t="shared" si="6"/>
        <v>327100</v>
      </c>
      <c r="V8" s="316" t="s">
        <v>3248</v>
      </c>
    </row>
    <row r="9" spans="1:22" ht="34.5" customHeight="1" x14ac:dyDescent="0.35">
      <c r="A9" s="317" t="s">
        <v>3247</v>
      </c>
      <c r="B9" s="22" t="s">
        <v>1605</v>
      </c>
      <c r="C9" s="22" t="s">
        <v>3246</v>
      </c>
      <c r="D9" s="324">
        <v>80</v>
      </c>
      <c r="E9" s="330">
        <v>0.9</v>
      </c>
      <c r="F9" s="319">
        <f t="shared" si="0"/>
        <v>88.888888888888886</v>
      </c>
      <c r="G9" s="328">
        <f>'Assumptions (2)'!$B$17</f>
        <v>19000</v>
      </c>
      <c r="H9" s="320">
        <f t="shared" si="1"/>
        <v>1688888.8888888888</v>
      </c>
      <c r="I9" s="324">
        <v>3.5</v>
      </c>
      <c r="J9" s="328">
        <f>'Assumptions (2)'!$B$11</f>
        <v>250000</v>
      </c>
      <c r="K9" s="320">
        <f t="shared" si="2"/>
        <v>875000</v>
      </c>
      <c r="L9" s="324">
        <v>12</v>
      </c>
      <c r="M9" s="328">
        <f>'Assumptions (2)'!$B$13</f>
        <v>150000</v>
      </c>
      <c r="N9" s="320">
        <f t="shared" si="3"/>
        <v>1800000</v>
      </c>
      <c r="O9" s="321">
        <v>450000</v>
      </c>
      <c r="P9" s="329">
        <f>'Assumptions (2)'!$B$27</f>
        <v>0.08</v>
      </c>
      <c r="Q9" s="320">
        <f t="shared" si="4"/>
        <v>135111.11111111109</v>
      </c>
      <c r="R9" s="324">
        <v>1</v>
      </c>
      <c r="S9" s="328">
        <f>'Assumptions (2)'!$B$9</f>
        <v>90000</v>
      </c>
      <c r="T9" s="320">
        <f t="shared" si="5"/>
        <v>90000</v>
      </c>
      <c r="U9" s="327">
        <f t="shared" si="6"/>
        <v>5039000</v>
      </c>
      <c r="V9" s="316" t="s">
        <v>3245</v>
      </c>
    </row>
    <row r="10" spans="1:22" ht="15" customHeight="1" x14ac:dyDescent="0.35">
      <c r="A10" s="317" t="s">
        <v>3244</v>
      </c>
      <c r="B10" s="22" t="s">
        <v>1605</v>
      </c>
      <c r="C10" s="22" t="s">
        <v>3241</v>
      </c>
      <c r="D10" s="324">
        <v>55</v>
      </c>
      <c r="E10" s="330">
        <v>0.75</v>
      </c>
      <c r="F10" s="319">
        <f t="shared" si="0"/>
        <v>73.333333333333329</v>
      </c>
      <c r="G10" s="328">
        <f>'Assumptions (2)'!$B$17</f>
        <v>19000</v>
      </c>
      <c r="H10" s="320">
        <f t="shared" si="1"/>
        <v>1393333.3333333333</v>
      </c>
      <c r="I10" s="324">
        <v>6</v>
      </c>
      <c r="J10" s="328">
        <f>'Assumptions (2)'!$B$11</f>
        <v>250000</v>
      </c>
      <c r="K10" s="320">
        <f t="shared" si="2"/>
        <v>1500000</v>
      </c>
      <c r="L10" s="324">
        <v>2</v>
      </c>
      <c r="M10" s="328">
        <f>'Assumptions (2)'!$B$14</f>
        <v>60000</v>
      </c>
      <c r="N10" s="320">
        <f t="shared" si="3"/>
        <v>120000</v>
      </c>
      <c r="O10" s="321">
        <v>600000</v>
      </c>
      <c r="P10" s="329">
        <f>'Assumptions (2)'!$B$27</f>
        <v>0.08</v>
      </c>
      <c r="Q10" s="320">
        <f t="shared" si="4"/>
        <v>111466.66666666666</v>
      </c>
      <c r="R10" s="324">
        <v>1</v>
      </c>
      <c r="S10" s="328">
        <f>'Assumptions (2)'!$B$9</f>
        <v>90000</v>
      </c>
      <c r="T10" s="320">
        <f t="shared" si="5"/>
        <v>90000</v>
      </c>
      <c r="U10" s="327">
        <f t="shared" si="6"/>
        <v>3814799.9999999995</v>
      </c>
      <c r="V10" s="316" t="s">
        <v>3243</v>
      </c>
    </row>
    <row r="11" spans="1:22" ht="15" customHeight="1" x14ac:dyDescent="0.35">
      <c r="A11" s="317" t="s">
        <v>3242</v>
      </c>
      <c r="B11" s="22" t="s">
        <v>1605</v>
      </c>
      <c r="C11" s="22" t="s">
        <v>3241</v>
      </c>
      <c r="D11" s="324">
        <v>8</v>
      </c>
      <c r="E11" s="330">
        <v>0.75</v>
      </c>
      <c r="F11" s="319">
        <f t="shared" si="0"/>
        <v>10.666666666666666</v>
      </c>
      <c r="G11" s="328">
        <f>'Assumptions (2)'!$B$17</f>
        <v>19000</v>
      </c>
      <c r="H11" s="320">
        <f t="shared" si="1"/>
        <v>202666.66666666666</v>
      </c>
      <c r="I11" s="324">
        <v>1</v>
      </c>
      <c r="J11" s="328">
        <f>'Assumptions (2)'!$B$11</f>
        <v>250000</v>
      </c>
      <c r="K11" s="320">
        <f t="shared" si="2"/>
        <v>250000</v>
      </c>
      <c r="L11" s="324">
        <v>0.5</v>
      </c>
      <c r="M11" s="328">
        <f>'Assumptions (2)'!$B$14</f>
        <v>60000</v>
      </c>
      <c r="N11" s="320">
        <f t="shared" si="3"/>
        <v>30000</v>
      </c>
      <c r="O11" s="321">
        <v>60000</v>
      </c>
      <c r="P11" s="329">
        <f>'Assumptions (2)'!$B$27</f>
        <v>0.08</v>
      </c>
      <c r="Q11" s="320">
        <f t="shared" si="4"/>
        <v>16213.333333333332</v>
      </c>
      <c r="R11" s="324">
        <v>0.25</v>
      </c>
      <c r="S11" s="328">
        <f>'Assumptions (2)'!$B$9</f>
        <v>90000</v>
      </c>
      <c r="T11" s="320">
        <f t="shared" si="5"/>
        <v>22500</v>
      </c>
      <c r="U11" s="327">
        <f t="shared" si="6"/>
        <v>581380</v>
      </c>
      <c r="V11" s="316" t="s">
        <v>3240</v>
      </c>
    </row>
    <row r="12" spans="1:22" ht="15" customHeight="1" x14ac:dyDescent="0.35">
      <c r="A12" s="317" t="s">
        <v>3239</v>
      </c>
      <c r="B12" s="22" t="s">
        <v>1743</v>
      </c>
      <c r="C12" s="22" t="s">
        <v>3238</v>
      </c>
      <c r="D12" s="324">
        <v>140</v>
      </c>
      <c r="E12" s="330">
        <v>0.85</v>
      </c>
      <c r="F12" s="319">
        <f t="shared" si="0"/>
        <v>164.70588235294119</v>
      </c>
      <c r="G12" s="328">
        <f>'Assumptions (2)'!$B$17</f>
        <v>19000</v>
      </c>
      <c r="H12" s="320">
        <f t="shared" si="1"/>
        <v>3129411.7647058824</v>
      </c>
      <c r="I12" s="324">
        <v>10</v>
      </c>
      <c r="J12" s="328">
        <f>'Assumptions (2)'!$B$11</f>
        <v>250000</v>
      </c>
      <c r="K12" s="320">
        <f t="shared" si="2"/>
        <v>2500000</v>
      </c>
      <c r="L12" s="324">
        <v>14</v>
      </c>
      <c r="M12" s="328">
        <f>'Assumptions (2)'!$B$13</f>
        <v>150000</v>
      </c>
      <c r="N12" s="320">
        <f t="shared" si="3"/>
        <v>2100000</v>
      </c>
      <c r="O12" s="321">
        <v>900000</v>
      </c>
      <c r="P12" s="329">
        <f>'Assumptions (2)'!$B$27</f>
        <v>0.08</v>
      </c>
      <c r="Q12" s="320">
        <f t="shared" si="4"/>
        <v>250352.9411764706</v>
      </c>
      <c r="R12" s="324">
        <v>2</v>
      </c>
      <c r="S12" s="328">
        <f>'Assumptions (2)'!$B$9</f>
        <v>90000</v>
      </c>
      <c r="T12" s="320">
        <f t="shared" si="5"/>
        <v>180000</v>
      </c>
      <c r="U12" s="327">
        <f t="shared" si="6"/>
        <v>9059764.7058823518</v>
      </c>
      <c r="V12" s="316" t="s">
        <v>3237</v>
      </c>
    </row>
    <row r="13" spans="1:22" ht="15" customHeight="1" x14ac:dyDescent="0.35">
      <c r="A13" s="317" t="s">
        <v>3236</v>
      </c>
      <c r="B13" s="22" t="s">
        <v>1743</v>
      </c>
      <c r="C13" s="22" t="s">
        <v>3233</v>
      </c>
      <c r="D13" s="324">
        <v>25</v>
      </c>
      <c r="E13" s="330">
        <v>0.85</v>
      </c>
      <c r="F13" s="319">
        <f t="shared" si="0"/>
        <v>29.411764705882355</v>
      </c>
      <c r="G13" s="328">
        <f>'Assumptions (2)'!$B$17</f>
        <v>19000</v>
      </c>
      <c r="H13" s="320">
        <f t="shared" si="1"/>
        <v>558823.5294117647</v>
      </c>
      <c r="I13" s="324">
        <v>0.8</v>
      </c>
      <c r="J13" s="328">
        <f>'Assumptions (2)'!$B$11</f>
        <v>250000</v>
      </c>
      <c r="K13" s="320">
        <f t="shared" si="2"/>
        <v>200000</v>
      </c>
      <c r="L13" s="324">
        <v>3</v>
      </c>
      <c r="M13" s="328">
        <f>'Assumptions (2)'!$B$13</f>
        <v>150000</v>
      </c>
      <c r="N13" s="320">
        <f t="shared" si="3"/>
        <v>450000</v>
      </c>
      <c r="O13" s="321">
        <v>150000</v>
      </c>
      <c r="P13" s="329">
        <f>'Assumptions (2)'!$B$27</f>
        <v>0.08</v>
      </c>
      <c r="Q13" s="320">
        <f t="shared" si="4"/>
        <v>44705.882352941175</v>
      </c>
      <c r="R13" s="324">
        <v>0.25</v>
      </c>
      <c r="S13" s="328">
        <f>'Assumptions (2)'!$B$9</f>
        <v>90000</v>
      </c>
      <c r="T13" s="320">
        <f t="shared" si="5"/>
        <v>22500</v>
      </c>
      <c r="U13" s="327">
        <f t="shared" si="6"/>
        <v>1426029.411764706</v>
      </c>
      <c r="V13" s="316" t="s">
        <v>3235</v>
      </c>
    </row>
    <row r="14" spans="1:22" ht="15" customHeight="1" x14ac:dyDescent="0.35">
      <c r="A14" s="317" t="s">
        <v>3234</v>
      </c>
      <c r="B14" s="22" t="s">
        <v>1743</v>
      </c>
      <c r="C14" s="22" t="s">
        <v>3233</v>
      </c>
      <c r="D14" s="324">
        <v>30</v>
      </c>
      <c r="E14" s="330">
        <v>0.85</v>
      </c>
      <c r="F14" s="319">
        <f t="shared" si="0"/>
        <v>35.294117647058826</v>
      </c>
      <c r="G14" s="328">
        <f>'Assumptions (2)'!$B$17</f>
        <v>19000</v>
      </c>
      <c r="H14" s="320">
        <f t="shared" si="1"/>
        <v>670588.23529411771</v>
      </c>
      <c r="I14" s="324">
        <v>1</v>
      </c>
      <c r="J14" s="328">
        <f>'Assumptions (2)'!$B$11</f>
        <v>250000</v>
      </c>
      <c r="K14" s="320">
        <f t="shared" si="2"/>
        <v>250000</v>
      </c>
      <c r="L14" s="324">
        <v>4</v>
      </c>
      <c r="M14" s="328">
        <f>'Assumptions (2)'!$B$13</f>
        <v>150000</v>
      </c>
      <c r="N14" s="320">
        <f t="shared" si="3"/>
        <v>600000</v>
      </c>
      <c r="O14" s="321">
        <v>225000</v>
      </c>
      <c r="P14" s="329">
        <f>'Assumptions (2)'!$B$27</f>
        <v>0.08</v>
      </c>
      <c r="Q14" s="320">
        <f t="shared" si="4"/>
        <v>53647.05882352942</v>
      </c>
      <c r="R14" s="324">
        <v>0.5</v>
      </c>
      <c r="S14" s="328">
        <f>'Assumptions (2)'!$B$9</f>
        <v>90000</v>
      </c>
      <c r="T14" s="320">
        <f t="shared" si="5"/>
        <v>45000</v>
      </c>
      <c r="U14" s="327">
        <f t="shared" si="6"/>
        <v>1844235.294117647</v>
      </c>
      <c r="V14" s="316" t="s">
        <v>3232</v>
      </c>
    </row>
    <row r="15" spans="1:22" ht="15" customHeight="1" x14ac:dyDescent="0.35">
      <c r="A15" s="317" t="s">
        <v>3231</v>
      </c>
      <c r="B15" s="22" t="s">
        <v>1743</v>
      </c>
      <c r="C15" s="22" t="s">
        <v>3230</v>
      </c>
      <c r="D15" s="324">
        <v>1.8</v>
      </c>
      <c r="E15" s="330">
        <v>0.75</v>
      </c>
      <c r="F15" s="319">
        <f t="shared" si="0"/>
        <v>2.4</v>
      </c>
      <c r="G15" s="328">
        <f>'Assumptions (2)'!$B$20</f>
        <v>145000</v>
      </c>
      <c r="H15" s="320">
        <f t="shared" si="1"/>
        <v>348000</v>
      </c>
      <c r="I15" s="324">
        <v>1</v>
      </c>
      <c r="J15" s="328">
        <f>'Assumptions (2)'!$B$11</f>
        <v>250000</v>
      </c>
      <c r="K15" s="320">
        <f t="shared" si="2"/>
        <v>250000</v>
      </c>
      <c r="L15" s="324">
        <v>0.5</v>
      </c>
      <c r="M15" s="328">
        <f>'Assumptions (2)'!$B$14</f>
        <v>60000</v>
      </c>
      <c r="N15" s="320">
        <f t="shared" si="3"/>
        <v>30000</v>
      </c>
      <c r="O15" s="321">
        <v>350000</v>
      </c>
      <c r="P15" s="329">
        <f>'Assumptions (2)'!$B$27</f>
        <v>0.08</v>
      </c>
      <c r="Q15" s="320">
        <f t="shared" si="4"/>
        <v>27840</v>
      </c>
      <c r="R15" s="324">
        <v>0.5</v>
      </c>
      <c r="S15" s="328">
        <f>'Assumptions (2)'!$B$9</f>
        <v>90000</v>
      </c>
      <c r="T15" s="320">
        <f t="shared" si="5"/>
        <v>45000</v>
      </c>
      <c r="U15" s="327">
        <f t="shared" si="6"/>
        <v>1050840</v>
      </c>
      <c r="V15" s="316" t="s">
        <v>3229</v>
      </c>
    </row>
    <row r="16" spans="1:22" ht="15" customHeight="1" x14ac:dyDescent="0.35">
      <c r="A16" s="317" t="s">
        <v>3228</v>
      </c>
      <c r="B16" s="22" t="s">
        <v>878</v>
      </c>
      <c r="C16" s="22" t="s">
        <v>3227</v>
      </c>
      <c r="D16" s="324">
        <v>0.8</v>
      </c>
      <c r="E16" s="330">
        <v>0.5</v>
      </c>
      <c r="F16" s="319">
        <f t="shared" si="0"/>
        <v>1.6</v>
      </c>
      <c r="G16" s="328">
        <f>'Assumptions (2)'!$B$19</f>
        <v>65000</v>
      </c>
      <c r="H16" s="320">
        <f t="shared" si="1"/>
        <v>104000</v>
      </c>
      <c r="I16" s="324">
        <v>1.2</v>
      </c>
      <c r="J16" s="328">
        <f>'Assumptions (2)'!$B$10</f>
        <v>350000</v>
      </c>
      <c r="K16" s="320">
        <f t="shared" si="2"/>
        <v>420000</v>
      </c>
      <c r="L16" s="324">
        <v>0.3</v>
      </c>
      <c r="M16" s="328">
        <f>'Assumptions (2)'!$B$14</f>
        <v>60000</v>
      </c>
      <c r="N16" s="320">
        <f t="shared" si="3"/>
        <v>18000</v>
      </c>
      <c r="O16" s="321">
        <v>150000</v>
      </c>
      <c r="P16" s="329">
        <f>'Assumptions (2)'!$B$27</f>
        <v>0.08</v>
      </c>
      <c r="Q16" s="320">
        <f t="shared" si="4"/>
        <v>8320</v>
      </c>
      <c r="R16" s="324">
        <v>0.25</v>
      </c>
      <c r="S16" s="328">
        <f>'Assumptions (2)'!$B$9</f>
        <v>90000</v>
      </c>
      <c r="T16" s="320">
        <f t="shared" si="5"/>
        <v>22500</v>
      </c>
      <c r="U16" s="327">
        <f t="shared" si="6"/>
        <v>722820</v>
      </c>
      <c r="V16" s="316" t="s">
        <v>3226</v>
      </c>
    </row>
    <row r="17" spans="1:22" ht="15" customHeight="1" x14ac:dyDescent="0.35">
      <c r="A17" s="317" t="s">
        <v>3225</v>
      </c>
      <c r="B17" s="22" t="s">
        <v>878</v>
      </c>
      <c r="C17" s="22" t="s">
        <v>3224</v>
      </c>
      <c r="D17" s="324">
        <v>0.7</v>
      </c>
      <c r="E17" s="330">
        <v>0.7</v>
      </c>
      <c r="F17" s="319">
        <f t="shared" si="0"/>
        <v>1</v>
      </c>
      <c r="G17" s="328">
        <f>'Assumptions (2)'!$B$17</f>
        <v>19000</v>
      </c>
      <c r="H17" s="320">
        <f t="shared" si="1"/>
        <v>19000</v>
      </c>
      <c r="I17" s="324">
        <v>0.5</v>
      </c>
      <c r="J17" s="328">
        <f>'Assumptions (2)'!$B$11</f>
        <v>250000</v>
      </c>
      <c r="K17" s="320">
        <f t="shared" si="2"/>
        <v>125000</v>
      </c>
      <c r="L17" s="324">
        <v>0.2</v>
      </c>
      <c r="M17" s="328">
        <f>'Assumptions (2)'!$B$14</f>
        <v>60000</v>
      </c>
      <c r="N17" s="320">
        <f t="shared" si="3"/>
        <v>12000</v>
      </c>
      <c r="O17" s="321">
        <v>30000</v>
      </c>
      <c r="P17" s="329">
        <f>'Assumptions (2)'!$B$27</f>
        <v>0.08</v>
      </c>
      <c r="Q17" s="320">
        <f t="shared" si="4"/>
        <v>1520</v>
      </c>
      <c r="R17" s="324">
        <v>0.12</v>
      </c>
      <c r="S17" s="328">
        <f>'Assumptions (2)'!$B$9</f>
        <v>90000</v>
      </c>
      <c r="T17" s="320">
        <f t="shared" si="5"/>
        <v>10800</v>
      </c>
      <c r="U17" s="327">
        <f t="shared" si="6"/>
        <v>198320</v>
      </c>
      <c r="V17" s="316" t="s">
        <v>3223</v>
      </c>
    </row>
  </sheetData>
  <pageMargins left="0.75" right="0.75" top="1" bottom="1"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2EA1-90DA-4D39-B1F8-5E70BD474EC1}">
  <sheetPr>
    <tabColor rgb="FF2E86C1"/>
  </sheetPr>
  <dimension ref="A1:G115"/>
  <sheetViews>
    <sheetView topLeftCell="A79" zoomScaleNormal="100" workbookViewId="0"/>
  </sheetViews>
  <sheetFormatPr defaultColWidth="8.6328125" defaultRowHeight="14.5" x14ac:dyDescent="0.35"/>
  <cols>
    <col min="1" max="1" width="42" customWidth="1"/>
    <col min="2" max="6" width="16" customWidth="1"/>
    <col min="7" max="7" width="70" customWidth="1"/>
  </cols>
  <sheetData>
    <row r="1" spans="1:6" ht="17.25" customHeight="1" x14ac:dyDescent="0.4">
      <c r="A1" s="318" t="s">
        <v>3710</v>
      </c>
    </row>
    <row r="2" spans="1:6" ht="15" customHeight="1" x14ac:dyDescent="0.35">
      <c r="A2" s="331" t="s">
        <v>3709</v>
      </c>
    </row>
    <row r="4" spans="1:6" ht="15" customHeight="1" x14ac:dyDescent="0.35">
      <c r="A4" s="323" t="s">
        <v>3708</v>
      </c>
    </row>
    <row r="5" spans="1:6" ht="15" customHeight="1" x14ac:dyDescent="0.35">
      <c r="A5" s="341" t="s">
        <v>3697</v>
      </c>
      <c r="B5" s="341" t="s">
        <v>3696</v>
      </c>
      <c r="C5" s="341" t="s">
        <v>3695</v>
      </c>
      <c r="D5" s="341" t="s">
        <v>3694</v>
      </c>
      <c r="E5" s="341" t="s">
        <v>3693</v>
      </c>
      <c r="F5" s="341" t="s">
        <v>1469</v>
      </c>
    </row>
    <row r="6" spans="1:6" ht="15" customHeight="1" x14ac:dyDescent="0.35">
      <c r="A6" s="22" t="s">
        <v>3692</v>
      </c>
      <c r="B6" s="328">
        <f>SBP_BOM!P28</f>
        <v>13704114.536363637</v>
      </c>
      <c r="C6" s="328">
        <f>SBP_BOM!Q28</f>
        <v>8989986.4000000004</v>
      </c>
      <c r="D6" s="328">
        <f>SBP_BOM!R28</f>
        <v>7527045.75</v>
      </c>
      <c r="E6" s="328">
        <f>SBP_BOM!S28</f>
        <v>6064105.1000000006</v>
      </c>
      <c r="F6" s="22" t="s">
        <v>3707</v>
      </c>
    </row>
    <row r="7" spans="1:6" ht="15" customHeight="1" x14ac:dyDescent="0.35">
      <c r="A7" s="22" t="s">
        <v>3690</v>
      </c>
      <c r="B7" s="340">
        <v>6</v>
      </c>
      <c r="C7" s="340">
        <v>4</v>
      </c>
      <c r="D7" s="340">
        <v>3</v>
      </c>
      <c r="E7" s="340">
        <v>2.2000000000000002</v>
      </c>
      <c r="F7" s="22" t="s">
        <v>3689</v>
      </c>
    </row>
    <row r="8" spans="1:6" ht="15" customHeight="1" x14ac:dyDescent="0.35">
      <c r="A8" s="22" t="s">
        <v>3688</v>
      </c>
      <c r="B8" s="320">
        <f>B7*'Assumptions (2)'!$B$8</f>
        <v>270000</v>
      </c>
      <c r="C8" s="320">
        <f>C7*'Assumptions (2)'!$B$8</f>
        <v>180000</v>
      </c>
      <c r="D8" s="320">
        <f>D7*'Assumptions (2)'!$B$8</f>
        <v>135000</v>
      </c>
      <c r="E8" s="320">
        <f>E7*'Assumptions (2)'!$B$8</f>
        <v>99000.000000000015</v>
      </c>
    </row>
    <row r="9" spans="1:6" ht="15" customHeight="1" x14ac:dyDescent="0.35">
      <c r="A9" s="22" t="s">
        <v>3687</v>
      </c>
      <c r="B9" s="340">
        <v>2.5</v>
      </c>
      <c r="C9" s="340">
        <v>1.5</v>
      </c>
      <c r="D9" s="340">
        <v>1</v>
      </c>
      <c r="E9" s="340">
        <v>0.6</v>
      </c>
    </row>
    <row r="10" spans="1:6" ht="15" customHeight="1" x14ac:dyDescent="0.35">
      <c r="A10" s="22" t="s">
        <v>3686</v>
      </c>
      <c r="B10" s="320">
        <f>B9*'Assumptions (2)'!$B$9</f>
        <v>225000</v>
      </c>
      <c r="C10" s="320">
        <f>C9*'Assumptions (2)'!$B$9</f>
        <v>135000</v>
      </c>
      <c r="D10" s="320">
        <f>D9*'Assumptions (2)'!$B$9</f>
        <v>90000</v>
      </c>
      <c r="E10" s="320">
        <f>E9*'Assumptions (2)'!$B$9</f>
        <v>54000</v>
      </c>
    </row>
    <row r="11" spans="1:6" ht="15" customHeight="1" x14ac:dyDescent="0.35">
      <c r="A11" s="22" t="s">
        <v>3685</v>
      </c>
      <c r="B11" s="321">
        <v>150000</v>
      </c>
      <c r="C11" s="321">
        <v>120000</v>
      </c>
      <c r="D11" s="321">
        <v>90000</v>
      </c>
      <c r="E11" s="321">
        <v>60000</v>
      </c>
    </row>
    <row r="12" spans="1:6" ht="15" customHeight="1" x14ac:dyDescent="0.35">
      <c r="A12" s="22" t="s">
        <v>3684</v>
      </c>
      <c r="B12" s="321">
        <v>0</v>
      </c>
      <c r="C12" s="320">
        <f>'Assumptions (2)'!$B$42/('Assumptions (2)'!$B$36+'Assumptions (2)'!$B$37)</f>
        <v>800000</v>
      </c>
      <c r="D12" s="320">
        <f>'Assumptions (2)'!$B$42/('Assumptions (2)'!$B$36+'Assumptions (2)'!$B$37)</f>
        <v>800000</v>
      </c>
      <c r="E12" s="320">
        <f>'Assumptions (2)'!$B$43/'Assumptions (2)'!$B$38</f>
        <v>150000</v>
      </c>
      <c r="F12" s="22" t="s">
        <v>3700</v>
      </c>
    </row>
    <row r="13" spans="1:6" ht="15" customHeight="1" x14ac:dyDescent="0.35">
      <c r="A13" s="333" t="s">
        <v>3682</v>
      </c>
      <c r="B13" s="332">
        <f>B6+B8+B10+B11+B12</f>
        <v>14349114.536363637</v>
      </c>
      <c r="C13" s="332">
        <f>C6+C8+C10+C11+C12</f>
        <v>10224986.4</v>
      </c>
      <c r="D13" s="332">
        <f>D6+D8+D10+D11+D12</f>
        <v>8642045.75</v>
      </c>
      <c r="E13" s="332">
        <f>E6+E8+E10+E11+E12</f>
        <v>6427105.1000000006</v>
      </c>
    </row>
    <row r="14" spans="1:6" ht="15" customHeight="1" x14ac:dyDescent="0.35">
      <c r="A14" s="22" t="s">
        <v>3681</v>
      </c>
      <c r="B14" s="320">
        <f>B13*'Assumptions (2)'!$B$30</f>
        <v>2152367.1804545457</v>
      </c>
      <c r="C14" s="320">
        <f>C13*'Assumptions (2)'!$B$31</f>
        <v>1226998.368</v>
      </c>
      <c r="D14" s="320">
        <f>D13*'Assumptions (2)'!$B$32</f>
        <v>864204.57500000007</v>
      </c>
      <c r="E14" s="320">
        <f>E13*'Assumptions (2)'!$B$33</f>
        <v>514168.40800000005</v>
      </c>
    </row>
    <row r="15" spans="1:6" ht="15" customHeight="1" x14ac:dyDescent="0.35">
      <c r="A15" s="336" t="s">
        <v>3680</v>
      </c>
      <c r="B15" s="335">
        <f>B13+B14</f>
        <v>16501481.716818184</v>
      </c>
      <c r="C15" s="335">
        <f>C13+C14</f>
        <v>11451984.768000001</v>
      </c>
      <c r="D15" s="335">
        <f>D13+D14</f>
        <v>9506250.3249999993</v>
      </c>
      <c r="E15" s="335">
        <f>E13+E14</f>
        <v>6941273.5080000004</v>
      </c>
    </row>
    <row r="16" spans="1:6" ht="15" customHeight="1" x14ac:dyDescent="0.35">
      <c r="A16" s="22" t="s">
        <v>3679</v>
      </c>
      <c r="B16" s="320">
        <f>B15*'Assumptions (2)'!$B$39</f>
        <v>13531215.00779091</v>
      </c>
      <c r="C16" s="320">
        <f>C15*'Assumptions (2)'!$B$39</f>
        <v>9390627.5097599998</v>
      </c>
      <c r="D16" s="320">
        <f>D15*'Assumptions (2)'!$B$39</f>
        <v>7795125.266499999</v>
      </c>
      <c r="E16" s="320">
        <f>E15*'Assumptions (2)'!$B$39</f>
        <v>5691844.2765600001</v>
      </c>
    </row>
    <row r="17" spans="1:6" ht="15" customHeight="1" x14ac:dyDescent="0.35">
      <c r="A17" s="22" t="s">
        <v>3678</v>
      </c>
      <c r="B17" s="320">
        <f>B15*'Assumptions (2)'!$B$40</f>
        <v>21451926.23186364</v>
      </c>
      <c r="C17" s="320">
        <f>C15*'Assumptions (2)'!$B$40</f>
        <v>14887580.198400002</v>
      </c>
      <c r="D17" s="320">
        <f>D15*'Assumptions (2)'!$B$40</f>
        <v>12358125.422499999</v>
      </c>
      <c r="E17" s="320">
        <f>E15*'Assumptions (2)'!$B$40</f>
        <v>9023655.5604000017</v>
      </c>
    </row>
    <row r="18" spans="1:6" ht="32.25" customHeight="1" x14ac:dyDescent="0.35">
      <c r="A18" s="339" t="s">
        <v>3706</v>
      </c>
    </row>
    <row r="20" spans="1:6" ht="15" customHeight="1" x14ac:dyDescent="0.35">
      <c r="A20" s="323" t="s">
        <v>3705</v>
      </c>
    </row>
    <row r="21" spans="1:6" ht="15" customHeight="1" x14ac:dyDescent="0.35">
      <c r="A21" s="341" t="s">
        <v>3697</v>
      </c>
      <c r="B21" s="341" t="s">
        <v>3696</v>
      </c>
      <c r="C21" s="341" t="s">
        <v>3695</v>
      </c>
      <c r="D21" s="341" t="s">
        <v>3694</v>
      </c>
      <c r="E21" s="341" t="s">
        <v>3693</v>
      </c>
      <c r="F21" s="341" t="s">
        <v>1469</v>
      </c>
    </row>
    <row r="22" spans="1:6" ht="15" customHeight="1" x14ac:dyDescent="0.35">
      <c r="A22" s="22" t="s">
        <v>3692</v>
      </c>
      <c r="B22" s="328">
        <f>VoltSwap_BOM!P25</f>
        <v>51876542</v>
      </c>
      <c r="C22" s="328">
        <f>VoltSwap_BOM!Q25</f>
        <v>44453912.399999999</v>
      </c>
      <c r="D22" s="328">
        <f>VoltSwap_BOM!R25</f>
        <v>38296720.700000003</v>
      </c>
      <c r="E22" s="328">
        <f>VoltSwap_BOM!S25</f>
        <v>32139529</v>
      </c>
      <c r="F22" s="22" t="s">
        <v>3704</v>
      </c>
    </row>
    <row r="23" spans="1:6" ht="15" customHeight="1" x14ac:dyDescent="0.35">
      <c r="A23" s="22" t="s">
        <v>3690</v>
      </c>
      <c r="B23" s="340">
        <v>60</v>
      </c>
      <c r="C23" s="340">
        <v>45</v>
      </c>
      <c r="D23" s="340">
        <v>35</v>
      </c>
      <c r="E23" s="340">
        <v>28</v>
      </c>
      <c r="F23" s="22" t="s">
        <v>3689</v>
      </c>
    </row>
    <row r="24" spans="1:6" ht="15" customHeight="1" x14ac:dyDescent="0.35">
      <c r="A24" s="22" t="s">
        <v>3688</v>
      </c>
      <c r="B24" s="320">
        <f>B23*'Assumptions (2)'!$B$8</f>
        <v>2700000</v>
      </c>
      <c r="C24" s="320">
        <f>C23*'Assumptions (2)'!$B$8</f>
        <v>2025000</v>
      </c>
      <c r="D24" s="320">
        <f>D23*'Assumptions (2)'!$B$8</f>
        <v>1575000</v>
      </c>
      <c r="E24" s="320">
        <f>E23*'Assumptions (2)'!$B$8</f>
        <v>1260000</v>
      </c>
    </row>
    <row r="25" spans="1:6" ht="15" customHeight="1" x14ac:dyDescent="0.35">
      <c r="A25" s="22" t="s">
        <v>3687</v>
      </c>
      <c r="B25" s="340">
        <v>16</v>
      </c>
      <c r="C25" s="340">
        <v>10</v>
      </c>
      <c r="D25" s="340">
        <v>8</v>
      </c>
      <c r="E25" s="340">
        <v>6</v>
      </c>
    </row>
    <row r="26" spans="1:6" ht="15" customHeight="1" x14ac:dyDescent="0.35">
      <c r="A26" s="22" t="s">
        <v>3686</v>
      </c>
      <c r="B26" s="320">
        <f>B25*'Assumptions (2)'!$B$9</f>
        <v>1440000</v>
      </c>
      <c r="C26" s="320">
        <f>C25*'Assumptions (2)'!$B$9</f>
        <v>900000</v>
      </c>
      <c r="D26" s="320">
        <f>D25*'Assumptions (2)'!$B$9</f>
        <v>720000</v>
      </c>
      <c r="E26" s="320">
        <f>E25*'Assumptions (2)'!$B$9</f>
        <v>540000</v>
      </c>
    </row>
    <row r="27" spans="1:6" ht="15" customHeight="1" x14ac:dyDescent="0.35">
      <c r="A27" s="22" t="s">
        <v>3685</v>
      </c>
      <c r="B27" s="321">
        <v>1500000</v>
      </c>
      <c r="C27" s="321">
        <v>1200000</v>
      </c>
      <c r="D27" s="321">
        <v>1000000</v>
      </c>
      <c r="E27" s="321">
        <v>800000</v>
      </c>
    </row>
    <row r="28" spans="1:6" ht="15" customHeight="1" x14ac:dyDescent="0.35">
      <c r="A28" s="22" t="s">
        <v>3684</v>
      </c>
      <c r="B28" s="321">
        <v>0</v>
      </c>
      <c r="C28" s="320">
        <f>('Assumptions (2)'!$B$44+'Assumptions (2)'!$B$45)/('Assumptions (2)'!$B$36+'Assumptions (2)'!$B$37)</f>
        <v>436363.63636363635</v>
      </c>
      <c r="D28" s="320">
        <f>('Assumptions (2)'!$B$44+'Assumptions (2)'!$B$45)/('Assumptions (2)'!$B$36+'Assumptions (2)'!$B$37)</f>
        <v>436363.63636363635</v>
      </c>
      <c r="E28" s="320">
        <f>('Assumptions (2)'!$B$44+'Assumptions (2)'!$B$45)/'Assumptions (2)'!$B$38</f>
        <v>24000</v>
      </c>
      <c r="F28" s="22" t="s">
        <v>3700</v>
      </c>
    </row>
    <row r="29" spans="1:6" ht="15" customHeight="1" x14ac:dyDescent="0.35">
      <c r="A29" s="333" t="s">
        <v>3682</v>
      </c>
      <c r="B29" s="332">
        <f>B22+B24+B26+B27+B28</f>
        <v>57516542</v>
      </c>
      <c r="C29" s="332">
        <f>C22+C24+C26+C27+C28</f>
        <v>49015276.036363631</v>
      </c>
      <c r="D29" s="332">
        <f>D22+D24+D26+D27+D28</f>
        <v>42028084.336363636</v>
      </c>
      <c r="E29" s="332">
        <f>E22+E24+E26+E27+E28</f>
        <v>34763529</v>
      </c>
    </row>
    <row r="30" spans="1:6" ht="15" customHeight="1" x14ac:dyDescent="0.35">
      <c r="A30" s="22" t="s">
        <v>3681</v>
      </c>
      <c r="B30" s="320">
        <f>B29*'Assumptions (2)'!$B$30</f>
        <v>8627481.2999999989</v>
      </c>
      <c r="C30" s="320">
        <f>C29*'Assumptions (2)'!$B$31</f>
        <v>5881833.1243636357</v>
      </c>
      <c r="D30" s="320">
        <f>D29*'Assumptions (2)'!$B$32</f>
        <v>4202808.4336363636</v>
      </c>
      <c r="E30" s="320">
        <f>E29*'Assumptions (2)'!$B$33</f>
        <v>2781082.32</v>
      </c>
    </row>
    <row r="31" spans="1:6" ht="15" customHeight="1" x14ac:dyDescent="0.35">
      <c r="A31" s="336" t="s">
        <v>3680</v>
      </c>
      <c r="B31" s="335">
        <f>B29+B30</f>
        <v>66144023.299999997</v>
      </c>
      <c r="C31" s="335">
        <f>C29+C30</f>
        <v>54897109.16072727</v>
      </c>
      <c r="D31" s="335">
        <f>D29+D30</f>
        <v>46230892.769999996</v>
      </c>
      <c r="E31" s="335">
        <f>E29+E30</f>
        <v>37544611.32</v>
      </c>
    </row>
    <row r="32" spans="1:6" ht="15" customHeight="1" x14ac:dyDescent="0.35">
      <c r="A32" s="22" t="s">
        <v>3679</v>
      </c>
      <c r="B32" s="320">
        <f>B31*'Assumptions (2)'!$B$39</f>
        <v>54238099.105999991</v>
      </c>
      <c r="C32" s="320">
        <f>C31*'Assumptions (2)'!$B$39</f>
        <v>45015629.511796355</v>
      </c>
      <c r="D32" s="320">
        <f>D31*'Assumptions (2)'!$B$39</f>
        <v>37909332.071399994</v>
      </c>
      <c r="E32" s="320">
        <f>E31*'Assumptions (2)'!$B$39</f>
        <v>30786581.282399997</v>
      </c>
    </row>
    <row r="33" spans="1:6" ht="15" customHeight="1" x14ac:dyDescent="0.35">
      <c r="A33" s="22" t="s">
        <v>3678</v>
      </c>
      <c r="B33" s="320">
        <f>B31*'Assumptions (2)'!$B$40</f>
        <v>85987230.289999992</v>
      </c>
      <c r="C33" s="320">
        <f>C31*'Assumptions (2)'!$B$40</f>
        <v>71366241.908945456</v>
      </c>
      <c r="D33" s="320">
        <f>D31*'Assumptions (2)'!$B$40</f>
        <v>60100160.600999996</v>
      </c>
      <c r="E33" s="320">
        <f>E31*'Assumptions (2)'!$B$40</f>
        <v>48807994.716000006</v>
      </c>
    </row>
    <row r="34" spans="1:6" ht="21.75" customHeight="1" x14ac:dyDescent="0.35">
      <c r="A34" s="339" t="s">
        <v>3703</v>
      </c>
    </row>
    <row r="36" spans="1:6" ht="15" customHeight="1" x14ac:dyDescent="0.35">
      <c r="A36" s="323" t="s">
        <v>3702</v>
      </c>
    </row>
    <row r="37" spans="1:6" ht="15" customHeight="1" x14ac:dyDescent="0.35">
      <c r="A37" s="341" t="s">
        <v>3697</v>
      </c>
      <c r="B37" s="341" t="s">
        <v>3696</v>
      </c>
      <c r="C37" s="341" t="s">
        <v>3695</v>
      </c>
      <c r="D37" s="341" t="s">
        <v>3694</v>
      </c>
      <c r="E37" s="341" t="s">
        <v>3693</v>
      </c>
      <c r="F37" s="341" t="s">
        <v>1469</v>
      </c>
    </row>
    <row r="38" spans="1:6" ht="15" customHeight="1" x14ac:dyDescent="0.35">
      <c r="A38" s="22" t="s">
        <v>3692</v>
      </c>
      <c r="B38" s="328">
        <f>VoltGrid_BOM!P24</f>
        <v>62487994.411764704</v>
      </c>
      <c r="C38" s="328">
        <f>VoltGrid_BOM!Q24</f>
        <v>55498210</v>
      </c>
      <c r="D38" s="328">
        <f>VoltGrid_BOM!R24</f>
        <v>49260337.5</v>
      </c>
      <c r="E38" s="328">
        <f>VoltGrid_BOM!S24</f>
        <v>43022465</v>
      </c>
      <c r="F38" s="22" t="s">
        <v>3701</v>
      </c>
    </row>
    <row r="39" spans="1:6" ht="15" customHeight="1" x14ac:dyDescent="0.35">
      <c r="A39" s="22" t="s">
        <v>3690</v>
      </c>
      <c r="B39" s="340">
        <v>50</v>
      </c>
      <c r="C39" s="340">
        <v>38</v>
      </c>
      <c r="D39" s="340">
        <v>30</v>
      </c>
      <c r="E39" s="340">
        <v>24</v>
      </c>
      <c r="F39" s="22" t="s">
        <v>3689</v>
      </c>
    </row>
    <row r="40" spans="1:6" ht="15" customHeight="1" x14ac:dyDescent="0.35">
      <c r="A40" s="22" t="s">
        <v>3688</v>
      </c>
      <c r="B40" s="320">
        <f>B39*'Assumptions (2)'!$B$8</f>
        <v>2250000</v>
      </c>
      <c r="C40" s="320">
        <f>C39*'Assumptions (2)'!$B$8</f>
        <v>1710000</v>
      </c>
      <c r="D40" s="320">
        <f>D39*'Assumptions (2)'!$B$8</f>
        <v>1350000</v>
      </c>
      <c r="E40" s="320">
        <f>E39*'Assumptions (2)'!$B$8</f>
        <v>1080000</v>
      </c>
    </row>
    <row r="41" spans="1:6" ht="15" customHeight="1" x14ac:dyDescent="0.35">
      <c r="A41" s="22" t="s">
        <v>3687</v>
      </c>
      <c r="B41" s="340">
        <v>16</v>
      </c>
      <c r="C41" s="340">
        <v>10</v>
      </c>
      <c r="D41" s="340">
        <v>8</v>
      </c>
      <c r="E41" s="340">
        <v>6</v>
      </c>
    </row>
    <row r="42" spans="1:6" ht="15" customHeight="1" x14ac:dyDescent="0.35">
      <c r="A42" s="22" t="s">
        <v>3686</v>
      </c>
      <c r="B42" s="320">
        <f>B41*'Assumptions (2)'!$B$9</f>
        <v>1440000</v>
      </c>
      <c r="C42" s="320">
        <f>C41*'Assumptions (2)'!$B$9</f>
        <v>900000</v>
      </c>
      <c r="D42" s="320">
        <f>D41*'Assumptions (2)'!$B$9</f>
        <v>720000</v>
      </c>
      <c r="E42" s="320">
        <f>E41*'Assumptions (2)'!$B$9</f>
        <v>540000</v>
      </c>
    </row>
    <row r="43" spans="1:6" ht="15" customHeight="1" x14ac:dyDescent="0.35">
      <c r="A43" s="22" t="s">
        <v>3685</v>
      </c>
      <c r="B43" s="321">
        <v>1200000</v>
      </c>
      <c r="C43" s="321">
        <v>1000000</v>
      </c>
      <c r="D43" s="321">
        <v>850000</v>
      </c>
      <c r="E43" s="321">
        <v>700000</v>
      </c>
    </row>
    <row r="44" spans="1:6" ht="15" customHeight="1" x14ac:dyDescent="0.35">
      <c r="A44" s="22" t="s">
        <v>3684</v>
      </c>
      <c r="B44" s="321">
        <v>0</v>
      </c>
      <c r="C44" s="320">
        <f>'Assumptions (2)'!$B$46/('Assumptions (2)'!$B$36+'Assumptions (2)'!$B$37)</f>
        <v>127272.72727272728</v>
      </c>
      <c r="D44" s="320">
        <f>'Assumptions (2)'!$B$46/('Assumptions (2)'!$B$36+'Assumptions (2)'!$B$37)</f>
        <v>127272.72727272728</v>
      </c>
      <c r="E44" s="320">
        <f>'Assumptions (2)'!$B$46/'Assumptions (2)'!$B$38</f>
        <v>7000</v>
      </c>
      <c r="F44" s="22" t="s">
        <v>3700</v>
      </c>
    </row>
    <row r="45" spans="1:6" ht="15" customHeight="1" x14ac:dyDescent="0.35">
      <c r="A45" s="333" t="s">
        <v>3682</v>
      </c>
      <c r="B45" s="332">
        <f>B38+B40+B42+B43+B44</f>
        <v>67377994.411764711</v>
      </c>
      <c r="C45" s="332">
        <f>C38+C40+C42+C43+C44</f>
        <v>59235482.727272727</v>
      </c>
      <c r="D45" s="332">
        <f>D38+D40+D42+D43+D44</f>
        <v>52307610.227272727</v>
      </c>
      <c r="E45" s="332">
        <f>E38+E40+E42+E43+E44</f>
        <v>45349465</v>
      </c>
    </row>
    <row r="46" spans="1:6" ht="15" customHeight="1" x14ac:dyDescent="0.35">
      <c r="A46" s="22" t="s">
        <v>3681</v>
      </c>
      <c r="B46" s="320">
        <f>B45*'Assumptions (2)'!$B$30</f>
        <v>10106699.161764706</v>
      </c>
      <c r="C46" s="320">
        <f>C45*'Assumptions (2)'!$B$31</f>
        <v>7108257.9272727268</v>
      </c>
      <c r="D46" s="320">
        <f>D45*'Assumptions (2)'!$B$32</f>
        <v>5230761.0227272734</v>
      </c>
      <c r="E46" s="320">
        <f>E45*'Assumptions (2)'!$B$33</f>
        <v>3627957.2</v>
      </c>
    </row>
    <row r="47" spans="1:6" ht="15" customHeight="1" x14ac:dyDescent="0.35">
      <c r="A47" s="336" t="s">
        <v>3680</v>
      </c>
      <c r="B47" s="335">
        <f>B45+B46</f>
        <v>77484693.573529422</v>
      </c>
      <c r="C47" s="335">
        <f>C45+C46</f>
        <v>66343740.654545456</v>
      </c>
      <c r="D47" s="335">
        <f>D45+D46</f>
        <v>57538371.25</v>
      </c>
      <c r="E47" s="335">
        <f>E45+E46</f>
        <v>48977422.200000003</v>
      </c>
    </row>
    <row r="48" spans="1:6" ht="15" customHeight="1" x14ac:dyDescent="0.35">
      <c r="A48" s="22" t="s">
        <v>3679</v>
      </c>
      <c r="B48" s="320">
        <f>B47*'Assumptions (2)'!$B$39</f>
        <v>63537448.730294123</v>
      </c>
      <c r="C48" s="320">
        <f>C47*'Assumptions (2)'!$B$39</f>
        <v>54401867.336727269</v>
      </c>
      <c r="D48" s="320">
        <f>D47*'Assumptions (2)'!$B$39</f>
        <v>47181464.424999997</v>
      </c>
      <c r="E48" s="320">
        <f>E47*'Assumptions (2)'!$B$39</f>
        <v>40161486.204000004</v>
      </c>
    </row>
    <row r="49" spans="1:6" ht="15" customHeight="1" x14ac:dyDescent="0.35">
      <c r="A49" s="22" t="s">
        <v>3678</v>
      </c>
      <c r="B49" s="320">
        <f>B47*'Assumptions (2)'!$B$40</f>
        <v>100730101.64558825</v>
      </c>
      <c r="C49" s="320">
        <f>C47*'Assumptions (2)'!$B$40</f>
        <v>86246862.850909099</v>
      </c>
      <c r="D49" s="320">
        <f>D47*'Assumptions (2)'!$B$40</f>
        <v>74799882.625</v>
      </c>
      <c r="E49" s="320">
        <f>E47*'Assumptions (2)'!$B$40</f>
        <v>63670648.860000007</v>
      </c>
    </row>
    <row r="50" spans="1:6" ht="21.75" customHeight="1" x14ac:dyDescent="0.35">
      <c r="A50" s="339" t="s">
        <v>3699</v>
      </c>
    </row>
    <row r="52" spans="1:6" ht="15" customHeight="1" x14ac:dyDescent="0.35">
      <c r="A52" s="323" t="s">
        <v>3698</v>
      </c>
    </row>
    <row r="53" spans="1:6" ht="15" customHeight="1" x14ac:dyDescent="0.35">
      <c r="A53" s="341" t="s">
        <v>3697</v>
      </c>
      <c r="B53" s="341" t="s">
        <v>3696</v>
      </c>
      <c r="C53" s="341" t="s">
        <v>3695</v>
      </c>
      <c r="D53" s="341" t="s">
        <v>3694</v>
      </c>
      <c r="E53" s="341" t="s">
        <v>3693</v>
      </c>
      <c r="F53" s="341" t="s">
        <v>1469</v>
      </c>
    </row>
    <row r="54" spans="1:6" ht="15" customHeight="1" x14ac:dyDescent="0.35">
      <c r="A54" s="22" t="s">
        <v>3692</v>
      </c>
      <c r="B54" s="328">
        <f>VoltOS_BOM!P15</f>
        <v>10669865</v>
      </c>
      <c r="C54" s="328">
        <f>VoltOS_BOM!Q15</f>
        <v>8450657</v>
      </c>
      <c r="D54" s="328">
        <f>VoltOS_BOM!R15</f>
        <v>7262496.5</v>
      </c>
      <c r="E54" s="328">
        <f>VoltOS_BOM!S15</f>
        <v>6074336</v>
      </c>
      <c r="F54" s="22" t="s">
        <v>3691</v>
      </c>
    </row>
    <row r="55" spans="1:6" ht="15" customHeight="1" x14ac:dyDescent="0.35">
      <c r="A55" s="22" t="s">
        <v>3690</v>
      </c>
      <c r="B55" s="340">
        <v>3</v>
      </c>
      <c r="C55" s="340">
        <v>2</v>
      </c>
      <c r="D55" s="340">
        <v>1.5</v>
      </c>
      <c r="E55" s="340">
        <v>1</v>
      </c>
      <c r="F55" s="22" t="s">
        <v>3689</v>
      </c>
    </row>
    <row r="56" spans="1:6" ht="15" customHeight="1" x14ac:dyDescent="0.35">
      <c r="A56" s="22" t="s">
        <v>3688</v>
      </c>
      <c r="B56" s="320">
        <f>B55*'Assumptions (2)'!$B$8</f>
        <v>135000</v>
      </c>
      <c r="C56" s="320">
        <f>C55*'Assumptions (2)'!$B$8</f>
        <v>90000</v>
      </c>
      <c r="D56" s="320">
        <f>D55*'Assumptions (2)'!$B$8</f>
        <v>67500</v>
      </c>
      <c r="E56" s="320">
        <f>E55*'Assumptions (2)'!$B$8</f>
        <v>45000</v>
      </c>
    </row>
    <row r="57" spans="1:6" ht="15" customHeight="1" x14ac:dyDescent="0.35">
      <c r="A57" s="22" t="s">
        <v>3687</v>
      </c>
      <c r="B57" s="340">
        <v>1</v>
      </c>
      <c r="C57" s="340">
        <v>0.7</v>
      </c>
      <c r="D57" s="340">
        <v>0.5</v>
      </c>
      <c r="E57" s="340">
        <v>0.4</v>
      </c>
    </row>
    <row r="58" spans="1:6" ht="15" customHeight="1" x14ac:dyDescent="0.35">
      <c r="A58" s="22" t="s">
        <v>3686</v>
      </c>
      <c r="B58" s="320">
        <f>B57*'Assumptions (2)'!$B$9</f>
        <v>90000</v>
      </c>
      <c r="C58" s="320">
        <f>C57*'Assumptions (2)'!$B$9</f>
        <v>62999.999999999993</v>
      </c>
      <c r="D58" s="320">
        <f>D57*'Assumptions (2)'!$B$9</f>
        <v>45000</v>
      </c>
      <c r="E58" s="320">
        <f>E57*'Assumptions (2)'!$B$9</f>
        <v>36000</v>
      </c>
    </row>
    <row r="59" spans="1:6" ht="15" customHeight="1" x14ac:dyDescent="0.35">
      <c r="A59" s="22" t="s">
        <v>3685</v>
      </c>
      <c r="B59" s="321">
        <v>150000</v>
      </c>
      <c r="C59" s="321">
        <v>120000</v>
      </c>
      <c r="D59" s="321">
        <v>90000</v>
      </c>
      <c r="E59" s="321">
        <v>70000</v>
      </c>
    </row>
    <row r="60" spans="1:6" ht="15" customHeight="1" x14ac:dyDescent="0.35">
      <c r="A60" s="22" t="s">
        <v>3684</v>
      </c>
      <c r="B60" s="321">
        <v>0</v>
      </c>
      <c r="C60" s="321">
        <v>0</v>
      </c>
      <c r="D60" s="321">
        <v>0</v>
      </c>
      <c r="E60" s="321">
        <v>0</v>
      </c>
      <c r="F60" s="22" t="s">
        <v>3683</v>
      </c>
    </row>
    <row r="61" spans="1:6" ht="15" customHeight="1" x14ac:dyDescent="0.35">
      <c r="A61" s="333" t="s">
        <v>3682</v>
      </c>
      <c r="B61" s="332">
        <f>B54+B56+B58+B59+B60</f>
        <v>11044865</v>
      </c>
      <c r="C61" s="332">
        <f>C54+C56+C58+C59+C60</f>
        <v>8723657</v>
      </c>
      <c r="D61" s="332">
        <f>D54+D56+D58+D59+D60</f>
        <v>7464996.5</v>
      </c>
      <c r="E61" s="332">
        <f>E54+E56+E58+E59+E60</f>
        <v>6225336</v>
      </c>
    </row>
    <row r="62" spans="1:6" ht="15" customHeight="1" x14ac:dyDescent="0.35">
      <c r="A62" s="22" t="s">
        <v>3681</v>
      </c>
      <c r="B62" s="320">
        <f>B61*'Assumptions (2)'!$B$30</f>
        <v>1656729.75</v>
      </c>
      <c r="C62" s="320">
        <f>C61*'Assumptions (2)'!$B$31</f>
        <v>1046838.84</v>
      </c>
      <c r="D62" s="320">
        <f>D61*'Assumptions (2)'!$B$32</f>
        <v>746499.65</v>
      </c>
      <c r="E62" s="320">
        <f>E61*'Assumptions (2)'!$B$33</f>
        <v>498026.88</v>
      </c>
    </row>
    <row r="63" spans="1:6" ht="15" customHeight="1" x14ac:dyDescent="0.35">
      <c r="A63" s="336" t="s">
        <v>3680</v>
      </c>
      <c r="B63" s="335">
        <f>B61+B62</f>
        <v>12701594.75</v>
      </c>
      <c r="C63" s="335">
        <f>C61+C62</f>
        <v>9770495.8399999999</v>
      </c>
      <c r="D63" s="335">
        <f>D61+D62</f>
        <v>8211496.1500000004</v>
      </c>
      <c r="E63" s="335">
        <f>E61+E62</f>
        <v>6723362.8799999999</v>
      </c>
    </row>
    <row r="64" spans="1:6" ht="15" customHeight="1" x14ac:dyDescent="0.35">
      <c r="A64" s="22" t="s">
        <v>3679</v>
      </c>
      <c r="B64" s="320">
        <f>B63*'Assumptions (2)'!$B$39</f>
        <v>10415307.695</v>
      </c>
      <c r="C64" s="320">
        <f>C63*'Assumptions (2)'!$B$39</f>
        <v>8011806.5887999991</v>
      </c>
      <c r="D64" s="320">
        <f>D63*'Assumptions (2)'!$B$39</f>
        <v>6733426.8430000003</v>
      </c>
      <c r="E64" s="320">
        <f>E63*'Assumptions (2)'!$B$39</f>
        <v>5513157.5615999997</v>
      </c>
    </row>
    <row r="65" spans="1:5" ht="15" customHeight="1" x14ac:dyDescent="0.35">
      <c r="A65" s="22" t="s">
        <v>3678</v>
      </c>
      <c r="B65" s="320">
        <f>B63*'Assumptions (2)'!$B$40</f>
        <v>16512073.175000001</v>
      </c>
      <c r="C65" s="320">
        <f>C63*'Assumptions (2)'!$B$40</f>
        <v>12701644.592</v>
      </c>
      <c r="D65" s="320">
        <f>D63*'Assumptions (2)'!$B$40</f>
        <v>10674944.995000001</v>
      </c>
      <c r="E65" s="320">
        <f>E63*'Assumptions (2)'!$B$40</f>
        <v>8740371.7440000009</v>
      </c>
    </row>
    <row r="66" spans="1:5" ht="32.25" customHeight="1" x14ac:dyDescent="0.35">
      <c r="A66" s="339" t="s">
        <v>3677</v>
      </c>
    </row>
    <row r="68" spans="1:5" ht="15" customHeight="1" x14ac:dyDescent="0.35">
      <c r="A68" s="323" t="s">
        <v>3676</v>
      </c>
    </row>
    <row r="69" spans="1:5" ht="15" customHeight="1" x14ac:dyDescent="0.35">
      <c r="A69" s="337" t="s">
        <v>3279</v>
      </c>
      <c r="B69" s="337" t="s">
        <v>1865</v>
      </c>
      <c r="C69" s="337" t="s">
        <v>3675</v>
      </c>
      <c r="D69" s="337" t="s">
        <v>3674</v>
      </c>
      <c r="E69" s="337" t="s">
        <v>3673</v>
      </c>
    </row>
    <row r="70" spans="1:5" ht="15" customHeight="1" x14ac:dyDescent="0.35">
      <c r="A70" s="22" t="s">
        <v>3249</v>
      </c>
      <c r="B70" s="22" t="s">
        <v>3402</v>
      </c>
      <c r="C70" s="320">
        <f>SUMIFS(SBP_BOM!P5:P27,SBP_BOM!B5:B27,B70)</f>
        <v>3747036.6363636362</v>
      </c>
      <c r="D70" s="320">
        <f>SUMIFS(SBP_BOM!S5:S27,SBP_BOM!B5:B27,B70)</f>
        <v>250040.6</v>
      </c>
      <c r="E70" s="338">
        <f>C70/SBP_BOM!P28</f>
        <v>0.27342420602374107</v>
      </c>
    </row>
    <row r="71" spans="1:5" ht="15" customHeight="1" x14ac:dyDescent="0.35">
      <c r="A71" s="22" t="s">
        <v>3249</v>
      </c>
      <c r="B71" s="22" t="s">
        <v>3396</v>
      </c>
      <c r="C71" s="320">
        <f>SUMIFS(SBP_BOM!P5:P27,SBP_BOM!B5:B27,B71)</f>
        <v>350000</v>
      </c>
      <c r="D71" s="320">
        <f>SUMIFS(SBP_BOM!S5:S27,SBP_BOM!B5:B27,B71)</f>
        <v>35000</v>
      </c>
      <c r="E71" s="338">
        <f>C71/SBP_BOM!P28</f>
        <v>2.5539774866247717E-2</v>
      </c>
    </row>
    <row r="72" spans="1:5" ht="15" customHeight="1" x14ac:dyDescent="0.35">
      <c r="A72" s="22" t="s">
        <v>3249</v>
      </c>
      <c r="B72" s="22" t="s">
        <v>3389</v>
      </c>
      <c r="C72" s="320">
        <f>SUMIFS(SBP_BOM!P5:P27,SBP_BOM!B5:B27,B72)</f>
        <v>306840</v>
      </c>
      <c r="D72" s="320">
        <f>SUMIFS(SBP_BOM!S5:S27,SBP_BOM!B5:B27,B72)</f>
        <v>60000</v>
      </c>
      <c r="E72" s="338">
        <f>C72/SBP_BOM!P28</f>
        <v>2.2390355771312712E-2</v>
      </c>
    </row>
    <row r="73" spans="1:5" ht="15" customHeight="1" x14ac:dyDescent="0.35">
      <c r="A73" s="22" t="s">
        <v>3249</v>
      </c>
      <c r="B73" s="22" t="s">
        <v>3364</v>
      </c>
      <c r="C73" s="320">
        <f>SUMIFS(SBP_BOM!P5:P27,SBP_BOM!B5:B27,B73)</f>
        <v>5248648.9000000004</v>
      </c>
      <c r="D73" s="320">
        <f>SUMIFS(SBP_BOM!S5:S27,SBP_BOM!B5:B27,B73)</f>
        <v>3552529.0000000005</v>
      </c>
      <c r="E73" s="338">
        <f>C73/SBP_BOM!P28</f>
        <v>0.38299803216565353</v>
      </c>
    </row>
    <row r="74" spans="1:5" ht="15" customHeight="1" x14ac:dyDescent="0.35">
      <c r="A74" s="22" t="s">
        <v>3249</v>
      </c>
      <c r="B74" s="22" t="s">
        <v>2630</v>
      </c>
      <c r="C74" s="320">
        <f>SUMIFS(SBP_BOM!P5:P27,SBP_BOM!B5:B27,B74)</f>
        <v>1444320</v>
      </c>
      <c r="D74" s="320">
        <f>SUMIFS(SBP_BOM!S5:S27,SBP_BOM!B5:B27,B74)</f>
        <v>782340</v>
      </c>
      <c r="E74" s="338">
        <f>C74/SBP_BOM!P28</f>
        <v>0.10539316467091114</v>
      </c>
    </row>
    <row r="75" spans="1:5" ht="15" customHeight="1" x14ac:dyDescent="0.35">
      <c r="A75" s="22" t="s">
        <v>3249</v>
      </c>
      <c r="B75" s="22" t="s">
        <v>2247</v>
      </c>
      <c r="C75" s="320">
        <f>SUMIFS(SBP_BOM!P5:P27,SBP_BOM!B5:B27,B75)</f>
        <v>689214</v>
      </c>
      <c r="D75" s="320">
        <f>SUMIFS(SBP_BOM!S5:S27,SBP_BOM!B5:B27,B75)</f>
        <v>423402</v>
      </c>
      <c r="E75" s="338">
        <f>C75/SBP_BOM!P28</f>
        <v>5.029248684190301E-2</v>
      </c>
    </row>
    <row r="76" spans="1:5" ht="15" customHeight="1" x14ac:dyDescent="0.35">
      <c r="A76" s="22" t="s">
        <v>3249</v>
      </c>
      <c r="B76" s="22" t="s">
        <v>3335</v>
      </c>
      <c r="C76" s="320">
        <f>SUMIFS(SBP_BOM!P5:P27,SBP_BOM!B5:B27,B76)</f>
        <v>352308</v>
      </c>
      <c r="D76" s="320">
        <f>SUMIFS(SBP_BOM!S5:S27,SBP_BOM!B5:B27,B76)</f>
        <v>182172</v>
      </c>
      <c r="E76" s="338">
        <f>C76/SBP_BOM!P28</f>
        <v>2.5708191438794287E-2</v>
      </c>
    </row>
    <row r="77" spans="1:5" ht="15" customHeight="1" x14ac:dyDescent="0.35">
      <c r="A77" s="22" t="s">
        <v>3249</v>
      </c>
      <c r="B77" s="22" t="s">
        <v>3320</v>
      </c>
      <c r="C77" s="320">
        <f>SUMIFS(SBP_BOM!P5:P27,SBP_BOM!B5:B27,B77)</f>
        <v>771732</v>
      </c>
      <c r="D77" s="320">
        <f>SUMIFS(SBP_BOM!S5:S27,SBP_BOM!B5:B27,B77)</f>
        <v>409938</v>
      </c>
      <c r="E77" s="338">
        <f>C77/SBP_BOM!P28</f>
        <v>5.6313890105940234E-2</v>
      </c>
    </row>
    <row r="78" spans="1:5" ht="15" customHeight="1" x14ac:dyDescent="0.35">
      <c r="A78" s="22" t="s">
        <v>3249</v>
      </c>
      <c r="B78" s="22" t="s">
        <v>3312</v>
      </c>
      <c r="C78" s="320">
        <f>SUMIFS(SBP_BOM!P5:P27,SBP_BOM!B5:B27,B78)</f>
        <v>378525</v>
      </c>
      <c r="D78" s="320">
        <f>SUMIFS(SBP_BOM!S5:S27,SBP_BOM!B5:B27,B78)</f>
        <v>183855</v>
      </c>
      <c r="E78" s="338">
        <f>C78/SBP_BOM!P28</f>
        <v>2.7621266517846906E-2</v>
      </c>
    </row>
    <row r="79" spans="1:5" ht="15" customHeight="1" x14ac:dyDescent="0.35">
      <c r="A79" s="22" t="s">
        <v>3249</v>
      </c>
      <c r="B79" s="22" t="s">
        <v>3304</v>
      </c>
      <c r="C79" s="320">
        <f>SUMIFS(SBP_BOM!P5:P27,SBP_BOM!B5:B27,B79)</f>
        <v>108150</v>
      </c>
      <c r="D79" s="320">
        <f>SUMIFS(SBP_BOM!S5:S27,SBP_BOM!B5:B27,B79)</f>
        <v>48667.5</v>
      </c>
      <c r="E79" s="338">
        <f>C79/SBP_BOM!P28</f>
        <v>7.8917904336705449E-3</v>
      </c>
    </row>
    <row r="80" spans="1:5" ht="15" customHeight="1" x14ac:dyDescent="0.35">
      <c r="A80" s="22" t="s">
        <v>3249</v>
      </c>
      <c r="B80" s="22" t="s">
        <v>3299</v>
      </c>
      <c r="C80" s="320">
        <f>SUMIFS(SBP_BOM!P5:P27,SBP_BOM!B5:B27,B80)</f>
        <v>243080</v>
      </c>
      <c r="D80" s="320">
        <f>SUMIFS(SBP_BOM!S5:S27,SBP_BOM!B5:B27,B80)</f>
        <v>109386</v>
      </c>
      <c r="E80" s="338">
        <f>C80/SBP_BOM!P28</f>
        <v>1.7737738498535698E-2</v>
      </c>
    </row>
    <row r="81" spans="1:5" ht="15" customHeight="1" x14ac:dyDescent="0.35">
      <c r="A81" s="22" t="s">
        <v>3249</v>
      </c>
      <c r="B81" s="22" t="s">
        <v>3292</v>
      </c>
      <c r="C81" s="320">
        <f>SUMIFS(SBP_BOM!P5:P27,SBP_BOM!B5:B27,B81)</f>
        <v>64260</v>
      </c>
      <c r="D81" s="320">
        <f>SUMIFS(SBP_BOM!S5:S27,SBP_BOM!B5:B27,B81)</f>
        <v>26775</v>
      </c>
      <c r="E81" s="338">
        <f>C81/SBP_BOM!P28</f>
        <v>4.6891026654430805E-3</v>
      </c>
    </row>
    <row r="82" spans="1:5" ht="15" customHeight="1" x14ac:dyDescent="0.35">
      <c r="A82" s="22" t="s">
        <v>1605</v>
      </c>
      <c r="B82" s="22" t="s">
        <v>3402</v>
      </c>
      <c r="C82" s="320">
        <f>SUMIFS(VoltSwap_BOM!P5:P24,VoltSwap_BOM!B5:B24,B82)</f>
        <v>10151600</v>
      </c>
      <c r="D82" s="320">
        <f>SUMIFS(VoltSwap_BOM!S5:S24,VoltSwap_BOM!B5:B24,B82)</f>
        <v>6311125</v>
      </c>
      <c r="E82" s="338">
        <f>C82/VoltSwap_BOM!P25</f>
        <v>0.19568767710075971</v>
      </c>
    </row>
    <row r="83" spans="1:5" ht="15" customHeight="1" x14ac:dyDescent="0.35">
      <c r="A83" s="22" t="s">
        <v>1605</v>
      </c>
      <c r="B83" s="22" t="s">
        <v>3522</v>
      </c>
      <c r="C83" s="320">
        <f>SUMIFS(VoltSwap_BOM!P5:P24,VoltSwap_BOM!B5:B24,B83)</f>
        <v>216300</v>
      </c>
      <c r="D83" s="320">
        <f>SUMIFS(VoltSwap_BOM!S5:S24,VoltSwap_BOM!B5:B24,B83)</f>
        <v>129780</v>
      </c>
      <c r="E83" s="338">
        <f>C83/VoltSwap_BOM!P25</f>
        <v>4.1695146141390842E-3</v>
      </c>
    </row>
    <row r="84" spans="1:5" ht="15" customHeight="1" x14ac:dyDescent="0.35">
      <c r="A84" s="22" t="s">
        <v>1605</v>
      </c>
      <c r="B84" s="22" t="s">
        <v>3493</v>
      </c>
      <c r="C84" s="320">
        <f>SUMIFS(VoltSwap_BOM!P5:P24,VoltSwap_BOM!B5:B24,B84)</f>
        <v>13507782</v>
      </c>
      <c r="D84" s="320">
        <f>SUMIFS(VoltSwap_BOM!S5:S24,VoltSwap_BOM!B5:B24,B84)</f>
        <v>7386606</v>
      </c>
      <c r="E84" s="338">
        <f>C84/VoltSwap_BOM!P25</f>
        <v>0.26038323834306459</v>
      </c>
    </row>
    <row r="85" spans="1:5" ht="15" customHeight="1" x14ac:dyDescent="0.35">
      <c r="A85" s="22" t="s">
        <v>1605</v>
      </c>
      <c r="B85" s="22" t="s">
        <v>3487</v>
      </c>
      <c r="C85" s="320">
        <f>SUMIFS(VoltSwap_BOM!P5:P24,VoltSwap_BOM!B5:B24,B85)</f>
        <v>10110240</v>
      </c>
      <c r="D85" s="320">
        <f>SUMIFS(VoltSwap_BOM!S5:S24,VoltSwap_BOM!B5:B24,B85)</f>
        <v>6860520</v>
      </c>
      <c r="E85" s="338">
        <f>C85/VoltSwap_BOM!P25</f>
        <v>0.19489039959525445</v>
      </c>
    </row>
    <row r="86" spans="1:5" ht="15" customHeight="1" x14ac:dyDescent="0.35">
      <c r="A86" s="22" t="s">
        <v>1605</v>
      </c>
      <c r="B86" s="22" t="s">
        <v>3481</v>
      </c>
      <c r="C86" s="320">
        <f>SUMIFS(VoltSwap_BOM!P5:P24,VoltSwap_BOM!B5:B24,B86)</f>
        <v>3748500</v>
      </c>
      <c r="D86" s="320">
        <f>SUMIFS(VoltSwap_BOM!S5:S24,VoltSwap_BOM!B5:B24,B86)</f>
        <v>2570400</v>
      </c>
      <c r="E86" s="338">
        <f>C86/VoltSwap_BOM!P25</f>
        <v>7.2258093070274421E-2</v>
      </c>
    </row>
    <row r="87" spans="1:5" ht="15" customHeight="1" x14ac:dyDescent="0.35">
      <c r="A87" s="22" t="s">
        <v>1605</v>
      </c>
      <c r="B87" s="22" t="s">
        <v>3475</v>
      </c>
      <c r="C87" s="320">
        <f>SUMIFS(VoltSwap_BOM!P5:P24,VoltSwap_BOM!B5:B24,B87)</f>
        <v>962880</v>
      </c>
      <c r="D87" s="320">
        <f>SUMIFS(VoltSwap_BOM!S5:S24,VoltSwap_BOM!B5:B24,B87)</f>
        <v>577728</v>
      </c>
      <c r="E87" s="338">
        <f>C87/VoltSwap_BOM!P25</f>
        <v>1.8560990437643279E-2</v>
      </c>
    </row>
    <row r="88" spans="1:5" ht="15" customHeight="1" x14ac:dyDescent="0.35">
      <c r="A88" s="22" t="s">
        <v>1605</v>
      </c>
      <c r="B88" s="22" t="s">
        <v>3462</v>
      </c>
      <c r="C88" s="320">
        <f>SUMIFS(VoltSwap_BOM!P5:P24,VoltSwap_BOM!B5:B24,B88)</f>
        <v>4961790</v>
      </c>
      <c r="D88" s="320">
        <f>SUMIFS(VoltSwap_BOM!S5:S24,VoltSwap_BOM!B5:B24,B88)</f>
        <v>3219120</v>
      </c>
      <c r="E88" s="338">
        <f>C88/VoltSwap_BOM!P25</f>
        <v>9.5646120745673455E-2</v>
      </c>
    </row>
    <row r="89" spans="1:5" ht="15" customHeight="1" x14ac:dyDescent="0.35">
      <c r="A89" s="22" t="s">
        <v>1605</v>
      </c>
      <c r="B89" s="22" t="s">
        <v>2240</v>
      </c>
      <c r="C89" s="320">
        <f>SUMIFS(VoltSwap_BOM!P5:P24,VoltSwap_BOM!B5:B24,B89)</f>
        <v>4814400</v>
      </c>
      <c r="D89" s="320">
        <f>SUMIFS(VoltSwap_BOM!S5:S24,VoltSwap_BOM!B5:B24,B89)</f>
        <v>3129360</v>
      </c>
      <c r="E89" s="338">
        <f>C89/VoltSwap_BOM!P25</f>
        <v>9.2804952188216397E-2</v>
      </c>
    </row>
    <row r="90" spans="1:5" ht="15" customHeight="1" x14ac:dyDescent="0.35">
      <c r="A90" s="22" t="s">
        <v>1605</v>
      </c>
      <c r="B90" s="22" t="s">
        <v>3454</v>
      </c>
      <c r="C90" s="320">
        <f>SUMIFS(VoltSwap_BOM!P5:P24,VoltSwap_BOM!B5:B24,B90)</f>
        <v>2703750</v>
      </c>
      <c r="D90" s="320">
        <f>SUMIFS(VoltSwap_BOM!S5:S24,VoltSwap_BOM!B5:B24,B90)</f>
        <v>1514100</v>
      </c>
      <c r="E90" s="338">
        <f>C90/VoltSwap_BOM!P25</f>
        <v>5.2118932676738554E-2</v>
      </c>
    </row>
    <row r="91" spans="1:5" ht="15" customHeight="1" x14ac:dyDescent="0.35">
      <c r="A91" s="22" t="s">
        <v>1605</v>
      </c>
      <c r="B91" s="22" t="s">
        <v>2014</v>
      </c>
      <c r="C91" s="320">
        <f>SUMIFS(VoltSwap_BOM!P5:P24,VoltSwap_BOM!B5:B24,B91)</f>
        <v>374850</v>
      </c>
      <c r="D91" s="320">
        <f>SUMIFS(VoltSwap_BOM!S5:S24,VoltSwap_BOM!B5:B24,B91)</f>
        <v>267750</v>
      </c>
      <c r="E91" s="338">
        <f>C91/VoltSwap_BOM!P25</f>
        <v>7.2258093070274422E-3</v>
      </c>
    </row>
    <row r="92" spans="1:5" ht="15" customHeight="1" x14ac:dyDescent="0.35">
      <c r="A92" s="22" t="s">
        <v>1605</v>
      </c>
      <c r="B92" s="22" t="s">
        <v>3444</v>
      </c>
      <c r="C92" s="320">
        <f>SUMIFS(VoltSwap_BOM!P5:P24,VoltSwap_BOM!B5:B24,B92)</f>
        <v>324450</v>
      </c>
      <c r="D92" s="320">
        <f>SUMIFS(VoltSwap_BOM!S5:S24,VoltSwap_BOM!B5:B24,B92)</f>
        <v>173040</v>
      </c>
      <c r="E92" s="338">
        <f>C92/VoltSwap_BOM!P25</f>
        <v>6.2542719212086264E-3</v>
      </c>
    </row>
    <row r="93" spans="1:5" ht="15" customHeight="1" x14ac:dyDescent="0.35">
      <c r="A93" s="22" t="s">
        <v>1743</v>
      </c>
      <c r="B93" s="22" t="s">
        <v>3596</v>
      </c>
      <c r="C93" s="320">
        <f>SUMIFS(VoltGrid_BOM!P5:P23,VoltGrid_BOM!B5:B23,B93)</f>
        <v>11458114.117647057</v>
      </c>
      <c r="D93" s="320">
        <f>SUMIFS(VoltGrid_BOM!S5:S23,VoltGrid_BOM!B5:B23,B93)</f>
        <v>6957700</v>
      </c>
      <c r="E93" s="338">
        <f>C93/VoltGrid_BOM!P24</f>
        <v>0.18336504836663187</v>
      </c>
    </row>
    <row r="94" spans="1:5" ht="15" customHeight="1" x14ac:dyDescent="0.35">
      <c r="A94" s="22" t="s">
        <v>1743</v>
      </c>
      <c r="B94" s="22" t="s">
        <v>3475</v>
      </c>
      <c r="C94" s="320">
        <f>SUMIFS(VoltGrid_BOM!P5:P23,VoltGrid_BOM!B5:B23,B94)</f>
        <v>757050</v>
      </c>
      <c r="D94" s="320">
        <f>SUMIFS(VoltGrid_BOM!S5:S23,VoltGrid_BOM!B5:B23,B94)</f>
        <v>454230</v>
      </c>
      <c r="E94" s="338">
        <f>C94/VoltGrid_BOM!P24</f>
        <v>1.2115127187654931E-2</v>
      </c>
    </row>
    <row r="95" spans="1:5" ht="15" customHeight="1" x14ac:dyDescent="0.35">
      <c r="A95" s="22" t="s">
        <v>1743</v>
      </c>
      <c r="B95" s="22" t="s">
        <v>3587</v>
      </c>
      <c r="C95" s="320">
        <f>SUMIFS(VoltGrid_BOM!P5:P23,VoltGrid_BOM!B5:B23,B95)</f>
        <v>3466485.2941176472</v>
      </c>
      <c r="D95" s="320">
        <f>SUMIFS(VoltGrid_BOM!S5:S23,VoltGrid_BOM!B5:B23,B95)</f>
        <v>2123350</v>
      </c>
      <c r="E95" s="338">
        <f>C95/VoltGrid_BOM!P24</f>
        <v>5.547442075473312E-2</v>
      </c>
    </row>
    <row r="96" spans="1:5" ht="15" customHeight="1" x14ac:dyDescent="0.35">
      <c r="A96" s="22" t="s">
        <v>1743</v>
      </c>
      <c r="B96" s="22" t="s">
        <v>3581</v>
      </c>
      <c r="C96" s="320">
        <f>SUMIFS(VoltGrid_BOM!P5:P23,VoltGrid_BOM!B5:B23,B96)</f>
        <v>1050840</v>
      </c>
      <c r="D96" s="320">
        <f>SUMIFS(VoltGrid_BOM!S5:S23,VoltGrid_BOM!B5:B23,B96)</f>
        <v>600000</v>
      </c>
      <c r="E96" s="338">
        <f>C96/VoltGrid_BOM!P24</f>
        <v>1.6816670304306596E-2</v>
      </c>
    </row>
    <row r="97" spans="1:7" ht="15" customHeight="1" x14ac:dyDescent="0.35">
      <c r="A97" s="22" t="s">
        <v>1743</v>
      </c>
      <c r="B97" s="22" t="s">
        <v>2233</v>
      </c>
      <c r="C97" s="320">
        <f>SUMIFS(VoltGrid_BOM!P5:P23,VoltGrid_BOM!B5:B23,B97)</f>
        <v>29202600</v>
      </c>
      <c r="D97" s="320">
        <f>SUMIFS(VoltGrid_BOM!S5:S23,VoltGrid_BOM!B5:B23,B97)</f>
        <v>21826980</v>
      </c>
      <c r="E97" s="338">
        <f>C97/VoltGrid_BOM!P24</f>
        <v>0.46733136940784875</v>
      </c>
    </row>
    <row r="98" spans="1:7" ht="15" customHeight="1" x14ac:dyDescent="0.35">
      <c r="A98" s="22" t="s">
        <v>1743</v>
      </c>
      <c r="B98" s="22" t="s">
        <v>2247</v>
      </c>
      <c r="C98" s="320">
        <f>SUMIFS(VoltGrid_BOM!P5:P23,VoltGrid_BOM!B5:B23,B98)</f>
        <v>5811075</v>
      </c>
      <c r="D98" s="320">
        <f>SUMIFS(VoltGrid_BOM!S5:S23,VoltGrid_BOM!B5:B23,B98)</f>
        <v>4139250</v>
      </c>
      <c r="E98" s="338">
        <f>C98/VoltGrid_BOM!P24</f>
        <v>9.2995063367019196E-2</v>
      </c>
    </row>
    <row r="99" spans="1:7" ht="15" customHeight="1" x14ac:dyDescent="0.35">
      <c r="A99" s="22" t="s">
        <v>1743</v>
      </c>
      <c r="B99" s="22" t="s">
        <v>3454</v>
      </c>
      <c r="C99" s="320">
        <f>SUMIFS(VoltGrid_BOM!P5:P23,VoltGrid_BOM!B5:B23,B99)</f>
        <v>2433375</v>
      </c>
      <c r="D99" s="320">
        <f>SUMIFS(VoltGrid_BOM!S5:S23,VoltGrid_BOM!B5:B23,B99)</f>
        <v>1568175</v>
      </c>
      <c r="E99" s="338">
        <f>C99/VoltGrid_BOM!P24</f>
        <v>3.8941480246033708E-2</v>
      </c>
    </row>
    <row r="100" spans="1:7" ht="15" customHeight="1" x14ac:dyDescent="0.35">
      <c r="A100" s="22" t="s">
        <v>1743</v>
      </c>
      <c r="B100" s="22" t="s">
        <v>2240</v>
      </c>
      <c r="C100" s="320">
        <f>SUMIFS(VoltGrid_BOM!P5:P23,VoltGrid_BOM!B5:B23,B100)</f>
        <v>5176500</v>
      </c>
      <c r="D100" s="320">
        <f>SUMIFS(VoltGrid_BOM!S5:S23,VoltGrid_BOM!B5:B23,B100)</f>
        <v>3368040</v>
      </c>
      <c r="E100" s="338">
        <f>C100/VoltGrid_BOM!P24</f>
        <v>8.2839912670095439E-2</v>
      </c>
    </row>
    <row r="101" spans="1:7" ht="15" customHeight="1" x14ac:dyDescent="0.35">
      <c r="A101" s="22" t="s">
        <v>1743</v>
      </c>
      <c r="B101" s="22" t="s">
        <v>3462</v>
      </c>
      <c r="C101" s="320">
        <f>SUMIFS(VoltGrid_BOM!P5:P23,VoltGrid_BOM!B5:B23,B101)</f>
        <v>2166480</v>
      </c>
      <c r="D101" s="320">
        <f>SUMIFS(VoltGrid_BOM!S5:S23,VoltGrid_BOM!B5:B23,B101)</f>
        <v>1384140</v>
      </c>
      <c r="E101" s="338">
        <f>C101/VoltGrid_BOM!P24</f>
        <v>3.4670339805178862E-2</v>
      </c>
    </row>
    <row r="102" spans="1:7" ht="15" customHeight="1" x14ac:dyDescent="0.35">
      <c r="A102" s="22" t="s">
        <v>1743</v>
      </c>
      <c r="B102" s="22" t="s">
        <v>2266</v>
      </c>
      <c r="C102" s="320">
        <f>SUMIFS(VoltGrid_BOM!P5:P23,VoltGrid_BOM!B5:B23,B102)</f>
        <v>803250</v>
      </c>
      <c r="D102" s="320">
        <f>SUMIFS(VoltGrid_BOM!S5:S23,VoltGrid_BOM!B5:B23,B102)</f>
        <v>514080</v>
      </c>
      <c r="E102" s="338">
        <f>C102/VoltGrid_BOM!P24</f>
        <v>1.2854469207428602E-2</v>
      </c>
    </row>
    <row r="103" spans="1:7" ht="15" customHeight="1" x14ac:dyDescent="0.35">
      <c r="A103" s="22" t="s">
        <v>1743</v>
      </c>
      <c r="B103" s="22" t="s">
        <v>2014</v>
      </c>
      <c r="C103" s="320">
        <f>SUMIFS(VoltGrid_BOM!P5:P23,VoltGrid_BOM!B5:B23,B103)</f>
        <v>162225</v>
      </c>
      <c r="D103" s="320">
        <f>SUMIFS(VoltGrid_BOM!S5:S23,VoltGrid_BOM!B5:B23,B103)</f>
        <v>86520</v>
      </c>
      <c r="E103" s="338">
        <f>C103/VoltGrid_BOM!P24</f>
        <v>2.5960986830689137E-3</v>
      </c>
    </row>
    <row r="104" spans="1:7" ht="15" customHeight="1" x14ac:dyDescent="0.35">
      <c r="A104" s="22" t="s">
        <v>878</v>
      </c>
      <c r="B104" s="22" t="s">
        <v>3630</v>
      </c>
      <c r="C104" s="320">
        <f>SUMIFS(VoltOS_BOM!P5:P14,VoltOS_BOM!B5:B14,B104)</f>
        <v>7794045</v>
      </c>
      <c r="D104" s="320">
        <f>SUMIFS(VoltOS_BOM!S5:S14,VoltOS_BOM!B5:B14,B104)</f>
        <v>3883756</v>
      </c>
      <c r="E104" s="338">
        <f>C104/VoltOS_BOM!P15</f>
        <v>0.73047269107903423</v>
      </c>
    </row>
    <row r="105" spans="1:7" ht="15" customHeight="1" x14ac:dyDescent="0.35">
      <c r="A105" s="22" t="s">
        <v>878</v>
      </c>
      <c r="B105" s="22" t="s">
        <v>3621</v>
      </c>
      <c r="C105" s="320">
        <f>SUMIFS(VoltOS_BOM!P5:P14,VoltOS_BOM!B5:B14,B105)</f>
        <v>2554520</v>
      </c>
      <c r="D105" s="320">
        <f>SUMIFS(VoltOS_BOM!S5:S14,VoltOS_BOM!B5:B14,B105)</f>
        <v>1997800</v>
      </c>
      <c r="E105" s="338">
        <f>C105/VoltOS_BOM!P15</f>
        <v>0.23941446306958897</v>
      </c>
    </row>
    <row r="106" spans="1:7" ht="15" customHeight="1" x14ac:dyDescent="0.35">
      <c r="A106" s="22" t="s">
        <v>878</v>
      </c>
      <c r="B106" s="22" t="s">
        <v>3615</v>
      </c>
      <c r="C106" s="320">
        <f>SUMIFS(VoltOS_BOM!P5:P14,VoltOS_BOM!B5:B14,B106)</f>
        <v>321300</v>
      </c>
      <c r="D106" s="320">
        <f>SUMIFS(VoltOS_BOM!S5:S14,VoltOS_BOM!B5:B14,B106)</f>
        <v>192780</v>
      </c>
      <c r="E106" s="338">
        <f>C106/VoltOS_BOM!P15</f>
        <v>3.011284585137675E-2</v>
      </c>
    </row>
    <row r="108" spans="1:7" ht="15" customHeight="1" x14ac:dyDescent="0.35">
      <c r="A108" s="323" t="s">
        <v>3672</v>
      </c>
    </row>
    <row r="109" spans="1:7" ht="15" customHeight="1" x14ac:dyDescent="0.35">
      <c r="A109" s="337" t="s">
        <v>3671</v>
      </c>
      <c r="B109" s="337" t="s">
        <v>3433</v>
      </c>
      <c r="C109" s="337" t="s">
        <v>3670</v>
      </c>
      <c r="D109" s="337" t="s">
        <v>3669</v>
      </c>
      <c r="E109" s="337" t="s">
        <v>3668</v>
      </c>
      <c r="F109" s="337" t="s">
        <v>3667</v>
      </c>
      <c r="G109" s="337" t="s">
        <v>1469</v>
      </c>
    </row>
    <row r="110" spans="1:7" ht="15" customHeight="1" x14ac:dyDescent="0.35">
      <c r="A110" s="22" t="s">
        <v>3249</v>
      </c>
      <c r="B110" s="321">
        <v>18</v>
      </c>
      <c r="D110" s="320">
        <f>B110*B15</f>
        <v>297026670.90272731</v>
      </c>
      <c r="E110" s="320">
        <f>B110*C15</f>
        <v>206135725.82400003</v>
      </c>
      <c r="F110" s="320">
        <f>B110*E15</f>
        <v>124942923.14400001</v>
      </c>
      <c r="G110" s="22" t="s">
        <v>3666</v>
      </c>
    </row>
    <row r="111" spans="1:7" ht="15" customHeight="1" x14ac:dyDescent="0.35">
      <c r="A111" s="22" t="s">
        <v>3665</v>
      </c>
      <c r="B111" s="321">
        <v>1</v>
      </c>
      <c r="D111" s="320">
        <f>B111*B31</f>
        <v>66144023.299999997</v>
      </c>
      <c r="E111" s="320">
        <f>B111*C31</f>
        <v>54897109.16072727</v>
      </c>
      <c r="F111" s="320">
        <f>B111*E31</f>
        <v>37544611.32</v>
      </c>
      <c r="G111" s="22"/>
    </row>
    <row r="112" spans="1:7" ht="15" customHeight="1" x14ac:dyDescent="0.35">
      <c r="A112" s="22" t="s">
        <v>3664</v>
      </c>
      <c r="B112" s="321">
        <v>1</v>
      </c>
      <c r="D112" s="320">
        <f>B112*B47</f>
        <v>77484693.573529422</v>
      </c>
      <c r="E112" s="320">
        <f>B112*C47</f>
        <v>66343740.654545456</v>
      </c>
      <c r="F112" s="320">
        <f>B112*E47</f>
        <v>48977422.200000003</v>
      </c>
      <c r="G112" s="22"/>
    </row>
    <row r="113" spans="1:7" ht="15" customHeight="1" x14ac:dyDescent="0.35">
      <c r="A113" s="22" t="s">
        <v>3663</v>
      </c>
      <c r="B113" s="321">
        <v>2</v>
      </c>
      <c r="D113" s="320">
        <f>B113*B63</f>
        <v>25403189.5</v>
      </c>
      <c r="E113" s="320">
        <f>B113*C63</f>
        <v>19540991.68</v>
      </c>
      <c r="F113" s="320">
        <f>B113*E63</f>
        <v>13446725.76</v>
      </c>
      <c r="G113" s="22" t="s">
        <v>3662</v>
      </c>
    </row>
    <row r="114" spans="1:7" ht="15" customHeight="1" x14ac:dyDescent="0.35">
      <c r="A114" s="336" t="s">
        <v>3661</v>
      </c>
      <c r="D114" s="335">
        <f>SUM(D110:D113)</f>
        <v>466058577.27625674</v>
      </c>
      <c r="E114" s="335">
        <f>SUM(E110:E113)</f>
        <v>346917567.31927276</v>
      </c>
      <c r="F114" s="335">
        <f>SUM(F110:F113)</f>
        <v>224911682.42400002</v>
      </c>
    </row>
    <row r="115" spans="1:7" ht="15" customHeight="1" x14ac:dyDescent="0.35">
      <c r="A115" s="331" t="s">
        <v>3660</v>
      </c>
    </row>
  </sheetData>
  <pageMargins left="0.75" right="0.75" top="1" bottom="1"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6E222-C0AC-484C-9104-0482214412B2}">
  <sheetPr>
    <tabColor rgb="FF2E86C1"/>
  </sheetPr>
  <dimension ref="A1:F67"/>
  <sheetViews>
    <sheetView topLeftCell="B1" zoomScale="79" zoomScaleNormal="100" workbookViewId="0">
      <pane ySplit="3" topLeftCell="A38" activePane="bottomLeft" state="frozen"/>
      <selection pane="bottomLeft"/>
    </sheetView>
  </sheetViews>
  <sheetFormatPr defaultColWidth="8.6328125" defaultRowHeight="14.5" x14ac:dyDescent="0.35"/>
  <cols>
    <col min="1" max="1" width="4" customWidth="1"/>
    <col min="2" max="2" width="40" customWidth="1"/>
    <col min="3" max="4" width="20" customWidth="1"/>
    <col min="5" max="5" width="55" customWidth="1"/>
    <col min="6" max="6" width="45" customWidth="1"/>
  </cols>
  <sheetData>
    <row r="1" spans="1:6" ht="17.25" customHeight="1" x14ac:dyDescent="0.4">
      <c r="A1" s="318" t="s">
        <v>3842</v>
      </c>
    </row>
    <row r="2" spans="1:6" ht="15" customHeight="1" x14ac:dyDescent="0.35">
      <c r="A2" s="331" t="s">
        <v>3841</v>
      </c>
    </row>
    <row r="4" spans="1:6" ht="15" customHeight="1" x14ac:dyDescent="0.35">
      <c r="A4" s="323" t="s">
        <v>3708</v>
      </c>
    </row>
    <row r="5" spans="1:6" ht="15" customHeight="1" x14ac:dyDescent="0.35">
      <c r="A5" s="326" t="s">
        <v>820</v>
      </c>
      <c r="B5" s="326" t="s">
        <v>3783</v>
      </c>
      <c r="C5" s="326" t="s">
        <v>3782</v>
      </c>
      <c r="D5" s="326" t="s">
        <v>3781</v>
      </c>
      <c r="E5" s="326" t="s">
        <v>3780</v>
      </c>
      <c r="F5" s="326" t="s">
        <v>3779</v>
      </c>
    </row>
    <row r="6" spans="1:6" ht="23.25" customHeight="1" x14ac:dyDescent="0.35">
      <c r="A6" s="22">
        <v>1</v>
      </c>
      <c r="B6" s="22" t="s">
        <v>3840</v>
      </c>
      <c r="C6" s="328">
        <f>SBP_BOM!P11</f>
        <v>4506278.4000000004</v>
      </c>
      <c r="D6" s="328">
        <f>SBP_BOM!S11</f>
        <v>3379708.8000000003</v>
      </c>
      <c r="E6" s="338">
        <f>C6/RollUp!B15</f>
        <v>0.27308325866320454</v>
      </c>
      <c r="F6" s="316" t="s">
        <v>3839</v>
      </c>
    </row>
    <row r="7" spans="1:6" ht="23.25" customHeight="1" x14ac:dyDescent="0.35">
      <c r="A7" s="22">
        <v>2</v>
      </c>
      <c r="B7" s="22" t="s">
        <v>3838</v>
      </c>
      <c r="C7" s="328">
        <f>SBP_BOM!P6</f>
        <v>2047863.6363636362</v>
      </c>
      <c r="D7" s="328">
        <f>SBP_BOM!S6</f>
        <v>120000</v>
      </c>
      <c r="E7" s="338">
        <f>C7/RollUp!B15</f>
        <v>0.12410180318998078</v>
      </c>
      <c r="F7" s="316" t="s">
        <v>3837</v>
      </c>
    </row>
    <row r="8" spans="1:6" ht="15" customHeight="1" x14ac:dyDescent="0.35">
      <c r="A8" s="22">
        <v>3</v>
      </c>
      <c r="B8" s="22" t="s">
        <v>3836</v>
      </c>
      <c r="C8" s="328">
        <f>SBP_BOM!P5</f>
        <v>1502340</v>
      </c>
      <c r="D8" s="328">
        <f>SBP_BOM!S5</f>
        <v>95000</v>
      </c>
      <c r="E8" s="338">
        <f>C8/RollUp!B15</f>
        <v>9.1042733360654909E-2</v>
      </c>
      <c r="F8" s="316" t="s">
        <v>3835</v>
      </c>
    </row>
    <row r="9" spans="1:6" ht="15" customHeight="1" x14ac:dyDescent="0.35">
      <c r="A9" s="22">
        <v>4</v>
      </c>
      <c r="B9" s="22" t="s">
        <v>3834</v>
      </c>
      <c r="C9" s="328">
        <f>SBP_BOM!P15</f>
        <v>1444320</v>
      </c>
      <c r="D9" s="328">
        <f>SBP_BOM!S15</f>
        <v>782340</v>
      </c>
      <c r="E9" s="338">
        <f>C9/RollUp!B15</f>
        <v>8.7526685468975809E-2</v>
      </c>
      <c r="F9" s="316" t="s">
        <v>3833</v>
      </c>
    </row>
    <row r="10" spans="1:6" ht="15" customHeight="1" x14ac:dyDescent="0.35">
      <c r="A10" s="22">
        <v>5</v>
      </c>
      <c r="B10" s="22" t="s">
        <v>3832</v>
      </c>
      <c r="C10" s="328">
        <f>SBP_BOM!P10</f>
        <v>306840</v>
      </c>
      <c r="D10" s="328">
        <f>SBP_BOM!S10</f>
        <v>60000</v>
      </c>
      <c r="E10" s="338">
        <f>C10/RollUp!B15</f>
        <v>1.8594693813905876E-2</v>
      </c>
      <c r="F10" s="316" t="s">
        <v>3831</v>
      </c>
    </row>
    <row r="11" spans="1:6" ht="15" customHeight="1" x14ac:dyDescent="0.35">
      <c r="A11" s="22">
        <v>6</v>
      </c>
      <c r="B11" s="22" t="s">
        <v>3830</v>
      </c>
      <c r="C11" s="328">
        <f>SBP_BOM!P17</f>
        <v>541620</v>
      </c>
      <c r="D11" s="328">
        <f>SBP_BOM!S17</f>
        <v>337008</v>
      </c>
      <c r="E11" s="338">
        <f>C11/RollUp!B15</f>
        <v>3.2822507050865923E-2</v>
      </c>
      <c r="F11" s="316" t="s">
        <v>3829</v>
      </c>
    </row>
    <row r="12" spans="1:6" ht="15" customHeight="1" x14ac:dyDescent="0.35">
      <c r="A12" s="22">
        <v>7</v>
      </c>
      <c r="B12" s="22" t="s">
        <v>3828</v>
      </c>
      <c r="C12" s="328">
        <f>SBP_BOM!P20</f>
        <v>541620</v>
      </c>
      <c r="D12" s="328">
        <f>SBP_BOM!S20</f>
        <v>288864</v>
      </c>
      <c r="E12" s="338">
        <f>C12/RollUp!B15</f>
        <v>3.2822507050865923E-2</v>
      </c>
      <c r="F12" s="316" t="s">
        <v>3827</v>
      </c>
    </row>
    <row r="13" spans="1:6" ht="15" customHeight="1" x14ac:dyDescent="0.35">
      <c r="A13" s="22">
        <v>8</v>
      </c>
      <c r="B13" s="22" t="s">
        <v>3826</v>
      </c>
      <c r="C13" s="328">
        <f>SBP_BOM!P23</f>
        <v>378525</v>
      </c>
      <c r="D13" s="328">
        <f>SBP_BOM!S23</f>
        <v>183855</v>
      </c>
      <c r="E13" s="338">
        <f>C13/RollUp!B15</f>
        <v>2.2938849158873426E-2</v>
      </c>
      <c r="F13" s="316" t="s">
        <v>3825</v>
      </c>
    </row>
    <row r="14" spans="1:6" ht="15" customHeight="1" x14ac:dyDescent="0.35">
      <c r="A14" s="22">
        <v>9</v>
      </c>
      <c r="B14" s="22" t="s">
        <v>3824</v>
      </c>
      <c r="C14" s="328">
        <f>SBP_BOM!P9</f>
        <v>350000</v>
      </c>
      <c r="D14" s="328">
        <f>SBP_BOM!S9</f>
        <v>35000</v>
      </c>
      <c r="E14" s="338">
        <f>C14/RollUp!B15</f>
        <v>2.121021651305911E-2</v>
      </c>
      <c r="F14" s="316" t="s">
        <v>3823</v>
      </c>
    </row>
    <row r="15" spans="1:6" ht="15" customHeight="1" x14ac:dyDescent="0.35">
      <c r="A15" s="22">
        <v>10</v>
      </c>
      <c r="B15" s="22" t="s">
        <v>3822</v>
      </c>
      <c r="C15" s="328">
        <f>SBP_BOM!P12</f>
        <v>315000</v>
      </c>
      <c r="D15" s="328">
        <f>SBP_BOM!S12</f>
        <v>26250</v>
      </c>
      <c r="E15" s="338">
        <f>C15/RollUp!B15</f>
        <v>1.9089194861753197E-2</v>
      </c>
      <c r="F15" s="316" t="s">
        <v>3821</v>
      </c>
    </row>
    <row r="17" spans="1:6" ht="15" customHeight="1" x14ac:dyDescent="0.35">
      <c r="A17" s="323" t="s">
        <v>3705</v>
      </c>
    </row>
    <row r="18" spans="1:6" ht="15" customHeight="1" x14ac:dyDescent="0.35">
      <c r="A18" s="326" t="s">
        <v>820</v>
      </c>
      <c r="B18" s="326" t="s">
        <v>3783</v>
      </c>
      <c r="C18" s="326" t="s">
        <v>3782</v>
      </c>
      <c r="D18" s="326" t="s">
        <v>3781</v>
      </c>
      <c r="E18" s="326" t="s">
        <v>3780</v>
      </c>
      <c r="F18" s="326" t="s">
        <v>3779</v>
      </c>
    </row>
    <row r="19" spans="1:6" ht="15" customHeight="1" x14ac:dyDescent="0.35">
      <c r="A19" s="22">
        <v>1</v>
      </c>
      <c r="B19" s="22" t="s">
        <v>3820</v>
      </c>
      <c r="C19" s="328">
        <f>VoltSwap_BOM!P15</f>
        <v>10110240</v>
      </c>
      <c r="D19" s="328">
        <f>VoltSwap_BOM!S15</f>
        <v>6860520</v>
      </c>
      <c r="E19" s="338">
        <f>C19/RollUp!B31</f>
        <v>0.15285190551751635</v>
      </c>
      <c r="F19" s="316" t="s">
        <v>3819</v>
      </c>
    </row>
    <row r="20" spans="1:6" ht="15" customHeight="1" x14ac:dyDescent="0.35">
      <c r="A20" s="22">
        <v>2</v>
      </c>
      <c r="B20" s="22" t="s">
        <v>3818</v>
      </c>
      <c r="C20" s="328">
        <f>VoltSwap_BOM!P5</f>
        <v>5039000</v>
      </c>
      <c r="D20" s="328">
        <f>VoltSwap_BOM!S5</f>
        <v>3200000</v>
      </c>
      <c r="E20" s="338">
        <f>C20/RollUp!B31</f>
        <v>7.6182242152784199E-2</v>
      </c>
      <c r="F20" s="316" t="s">
        <v>3817</v>
      </c>
    </row>
    <row r="21" spans="1:6" ht="15" customHeight="1" x14ac:dyDescent="0.35">
      <c r="A21" s="22">
        <v>3</v>
      </c>
      <c r="B21" s="22" t="s">
        <v>3816</v>
      </c>
      <c r="C21" s="328">
        <f>VoltSwap_BOM!P21</f>
        <v>4814400</v>
      </c>
      <c r="D21" s="328">
        <f>VoltSwap_BOM!S21</f>
        <v>3129360</v>
      </c>
      <c r="E21" s="338">
        <f>C21/RollUp!B31</f>
        <v>7.2786621675007795E-2</v>
      </c>
      <c r="F21" s="316" t="s">
        <v>3794</v>
      </c>
    </row>
    <row r="22" spans="1:6" ht="23.25" customHeight="1" x14ac:dyDescent="0.35">
      <c r="A22" s="22">
        <v>4</v>
      </c>
      <c r="B22" s="22" t="s">
        <v>3815</v>
      </c>
      <c r="C22" s="328">
        <f>VoltSwap_BOM!P11</f>
        <v>3971880</v>
      </c>
      <c r="D22" s="328">
        <f>VoltSwap_BOM!S11</f>
        <v>1877616</v>
      </c>
      <c r="E22" s="338">
        <f>C22/RollUp!B31</f>
        <v>6.0048962881881426E-2</v>
      </c>
      <c r="F22" s="316" t="s">
        <v>3814</v>
      </c>
    </row>
    <row r="23" spans="1:6" ht="15" customHeight="1" x14ac:dyDescent="0.35">
      <c r="A23" s="22">
        <v>5</v>
      </c>
      <c r="B23" s="22" t="s">
        <v>3813</v>
      </c>
      <c r="C23" s="328">
        <f>VoltSwap_BOM!P16</f>
        <v>3748500</v>
      </c>
      <c r="D23" s="328">
        <f>VoltSwap_BOM!S16</f>
        <v>2570400</v>
      </c>
      <c r="E23" s="338">
        <f>C23/RollUp!B31</f>
        <v>5.6671787003316446E-2</v>
      </c>
      <c r="F23" s="316" t="s">
        <v>3812</v>
      </c>
    </row>
    <row r="24" spans="1:6" ht="15" customHeight="1" x14ac:dyDescent="0.35">
      <c r="A24" s="22">
        <v>6</v>
      </c>
      <c r="B24" s="22" t="s">
        <v>3811</v>
      </c>
      <c r="C24" s="328">
        <f>VoltSwap_BOM!P18</f>
        <v>3610800</v>
      </c>
      <c r="D24" s="328">
        <f>VoltSwap_BOM!S18</f>
        <v>2407200</v>
      </c>
      <c r="E24" s="338">
        <f>C24/RollUp!B31</f>
        <v>5.458996625625584E-2</v>
      </c>
      <c r="F24" s="316" t="s">
        <v>3810</v>
      </c>
    </row>
    <row r="25" spans="1:6" ht="15" customHeight="1" x14ac:dyDescent="0.35">
      <c r="A25" s="22">
        <v>7</v>
      </c>
      <c r="B25" s="22" t="s">
        <v>3809</v>
      </c>
      <c r="C25" s="328">
        <f>VoltSwap_BOM!P6</f>
        <v>3814799.9999999995</v>
      </c>
      <c r="D25" s="328">
        <f>VoltSwap_BOM!S6</f>
        <v>2300000</v>
      </c>
      <c r="E25" s="338">
        <f>C25/RollUp!B31</f>
        <v>5.7674145140790063E-2</v>
      </c>
      <c r="F25" s="316" t="s">
        <v>3808</v>
      </c>
    </row>
    <row r="26" spans="1:6" ht="15" customHeight="1" x14ac:dyDescent="0.35">
      <c r="A26" s="22">
        <v>8</v>
      </c>
      <c r="B26" s="22" t="s">
        <v>3807</v>
      </c>
      <c r="C26" s="328">
        <f>VoltSwap_BOM!P22</f>
        <v>2703750</v>
      </c>
      <c r="D26" s="328">
        <f>VoltSwap_BOM!S22</f>
        <v>1514100</v>
      </c>
      <c r="E26" s="338">
        <f>C26/RollUp!B31</f>
        <v>4.0876709113036369E-2</v>
      </c>
      <c r="F26" s="316" t="s">
        <v>3806</v>
      </c>
    </row>
    <row r="27" spans="1:6" ht="15" customHeight="1" x14ac:dyDescent="0.35">
      <c r="A27" s="22">
        <v>9</v>
      </c>
      <c r="B27" s="22" t="s">
        <v>3805</v>
      </c>
      <c r="C27" s="328">
        <f>VoltSwap_BOM!P12</f>
        <v>2187720</v>
      </c>
      <c r="D27" s="328">
        <f>VoltSwap_BOM!S12</f>
        <v>1239708</v>
      </c>
      <c r="E27" s="338">
        <f>C27/RollUp!B31</f>
        <v>3.3075097202319714E-2</v>
      </c>
      <c r="F27" s="316" t="s">
        <v>3804</v>
      </c>
    </row>
    <row r="28" spans="1:6" ht="15" customHeight="1" x14ac:dyDescent="0.35">
      <c r="A28" s="22">
        <v>10</v>
      </c>
      <c r="B28" s="22" t="s">
        <v>3803</v>
      </c>
      <c r="C28" s="328">
        <f>RollUp!B24</f>
        <v>2700000</v>
      </c>
      <c r="D28" s="328">
        <f>RollUp!E24</f>
        <v>1260000</v>
      </c>
      <c r="E28" s="338">
        <f>C28/RollUp!B31</f>
        <v>4.0820014648247138E-2</v>
      </c>
      <c r="F28" s="316" t="s">
        <v>3802</v>
      </c>
    </row>
    <row r="30" spans="1:6" ht="15" customHeight="1" x14ac:dyDescent="0.35">
      <c r="A30" s="323" t="s">
        <v>3702</v>
      </c>
    </row>
    <row r="31" spans="1:6" ht="15" customHeight="1" x14ac:dyDescent="0.35">
      <c r="A31" s="326" t="s">
        <v>820</v>
      </c>
      <c r="B31" s="326" t="s">
        <v>3783</v>
      </c>
      <c r="C31" s="326" t="s">
        <v>3782</v>
      </c>
      <c r="D31" s="326" t="s">
        <v>3781</v>
      </c>
      <c r="E31" s="326" t="s">
        <v>3780</v>
      </c>
      <c r="F31" s="326" t="s">
        <v>3779</v>
      </c>
    </row>
    <row r="32" spans="1:6" ht="23.25" customHeight="1" x14ac:dyDescent="0.35">
      <c r="A32" s="22">
        <v>1</v>
      </c>
      <c r="B32" s="22" t="s">
        <v>3801</v>
      </c>
      <c r="C32" s="328">
        <f>VoltGrid_BOM!P12</f>
        <v>28560000</v>
      </c>
      <c r="D32" s="328">
        <f>VoltGrid_BOM!S12</f>
        <v>21420000</v>
      </c>
      <c r="E32" s="338">
        <f>C32/RollUp!B47</f>
        <v>0.36858892618447114</v>
      </c>
      <c r="F32" s="316" t="s">
        <v>3800</v>
      </c>
    </row>
    <row r="33" spans="1:6" ht="15" customHeight="1" x14ac:dyDescent="0.35">
      <c r="A33" s="22">
        <v>2</v>
      </c>
      <c r="B33" s="22" t="s">
        <v>3799</v>
      </c>
      <c r="C33" s="328">
        <f>VoltGrid_BOM!P5</f>
        <v>9059764.7058823518</v>
      </c>
      <c r="D33" s="328">
        <f>VoltGrid_BOM!S5</f>
        <v>5600000</v>
      </c>
      <c r="E33" s="338">
        <f>C33/RollUp!B47</f>
        <v>0.11692328236782727</v>
      </c>
      <c r="F33" s="316" t="s">
        <v>3798</v>
      </c>
    </row>
    <row r="34" spans="1:6" ht="15" customHeight="1" x14ac:dyDescent="0.35">
      <c r="A34" s="22">
        <v>3</v>
      </c>
      <c r="B34" s="22" t="s">
        <v>3797</v>
      </c>
      <c r="C34" s="328">
        <f>VoltGrid_BOM!P14</f>
        <v>4819500</v>
      </c>
      <c r="D34" s="328">
        <f>VoltGrid_BOM!S14</f>
        <v>3534300</v>
      </c>
      <c r="E34" s="338">
        <f>C34/RollUp!B47</f>
        <v>6.2199381293629501E-2</v>
      </c>
      <c r="F34" s="316" t="s">
        <v>3796</v>
      </c>
    </row>
    <row r="35" spans="1:6" ht="15" customHeight="1" x14ac:dyDescent="0.35">
      <c r="A35" s="22">
        <v>4</v>
      </c>
      <c r="B35" s="22" t="s">
        <v>3795</v>
      </c>
      <c r="C35" s="328">
        <f>VoltGrid_BOM!P19</f>
        <v>4212600</v>
      </c>
      <c r="D35" s="328">
        <f>VoltGrid_BOM!S19</f>
        <v>2768280</v>
      </c>
      <c r="E35" s="338">
        <f>C35/RollUp!B47</f>
        <v>5.4366866612209491E-2</v>
      </c>
      <c r="F35" s="316" t="s">
        <v>3794</v>
      </c>
    </row>
    <row r="36" spans="1:6" ht="15" customHeight="1" x14ac:dyDescent="0.35">
      <c r="A36" s="22">
        <v>5</v>
      </c>
      <c r="B36" s="22" t="s">
        <v>3793</v>
      </c>
      <c r="C36" s="328">
        <f>VoltGrid_BOM!P17</f>
        <v>2163000</v>
      </c>
      <c r="D36" s="328">
        <f>VoltGrid_BOM!S17</f>
        <v>1405950</v>
      </c>
      <c r="E36" s="338">
        <f>C36/RollUp!B47</f>
        <v>2.7915190733088621E-2</v>
      </c>
      <c r="F36" s="316" t="s">
        <v>3792</v>
      </c>
    </row>
    <row r="37" spans="1:6" ht="23.25" customHeight="1" x14ac:dyDescent="0.35">
      <c r="A37" s="22">
        <v>6</v>
      </c>
      <c r="B37" s="22" t="s">
        <v>3791</v>
      </c>
      <c r="C37" s="328">
        <f>VoltGrid_BOM!P20</f>
        <v>2166480</v>
      </c>
      <c r="D37" s="328">
        <f>VoltGrid_BOM!S20</f>
        <v>1384140</v>
      </c>
      <c r="E37" s="338">
        <f>C37/RollUp!B47</f>
        <v>2.7960102829136309E-2</v>
      </c>
      <c r="F37" s="316" t="s">
        <v>3790</v>
      </c>
    </row>
    <row r="38" spans="1:6" ht="15" customHeight="1" x14ac:dyDescent="0.35">
      <c r="A38" s="22">
        <v>7</v>
      </c>
      <c r="B38" s="22" t="s">
        <v>3789</v>
      </c>
      <c r="C38" s="328">
        <f>VoltGrid_BOM!P9</f>
        <v>1844235.294117647</v>
      </c>
      <c r="D38" s="328">
        <f>VoltGrid_BOM!S9</f>
        <v>1150000</v>
      </c>
      <c r="E38" s="338">
        <f>C38/RollUp!B47</f>
        <v>2.3801285248260706E-2</v>
      </c>
      <c r="F38" s="316" t="s">
        <v>3589</v>
      </c>
    </row>
    <row r="39" spans="1:6" ht="15" customHeight="1" x14ac:dyDescent="0.35">
      <c r="A39" s="22">
        <v>8</v>
      </c>
      <c r="B39" s="22" t="s">
        <v>3788</v>
      </c>
      <c r="C39" s="328">
        <f>VoltGrid_BOM!P6</f>
        <v>1426029.411764706</v>
      </c>
      <c r="D39" s="328">
        <f>VoltGrid_BOM!S6</f>
        <v>750000</v>
      </c>
      <c r="E39" s="338">
        <f>C39/RollUp!B47</f>
        <v>1.8404014341380462E-2</v>
      </c>
      <c r="F39" s="316"/>
    </row>
    <row r="40" spans="1:6" ht="15" customHeight="1" x14ac:dyDescent="0.35">
      <c r="A40" s="22">
        <v>9</v>
      </c>
      <c r="B40" s="22" t="s">
        <v>3787</v>
      </c>
      <c r="C40" s="328">
        <f>VoltGrid_BOM!P11</f>
        <v>1050840</v>
      </c>
      <c r="D40" s="328">
        <f>VoltGrid_BOM!S11</f>
        <v>600000</v>
      </c>
      <c r="E40" s="338">
        <f>C40/RollUp!B47</f>
        <v>1.3561904313434511E-2</v>
      </c>
      <c r="F40" s="316" t="s">
        <v>3786</v>
      </c>
    </row>
    <row r="41" spans="1:6" ht="15" customHeight="1" x14ac:dyDescent="0.35">
      <c r="A41" s="22">
        <v>10</v>
      </c>
      <c r="B41" s="22" t="s">
        <v>3785</v>
      </c>
      <c r="C41" s="328">
        <f>RollUp!B40</f>
        <v>2250000</v>
      </c>
      <c r="D41" s="328">
        <f>RollUp!E40</f>
        <v>1080000</v>
      </c>
      <c r="E41" s="338">
        <f>C41/RollUp!B47</f>
        <v>2.9037993134280814E-2</v>
      </c>
      <c r="F41" s="316" t="s">
        <v>3784</v>
      </c>
    </row>
    <row r="43" spans="1:6" ht="15" customHeight="1" x14ac:dyDescent="0.35">
      <c r="A43" s="323" t="s">
        <v>3698</v>
      </c>
    </row>
    <row r="44" spans="1:6" ht="15" customHeight="1" x14ac:dyDescent="0.35">
      <c r="A44" s="326" t="s">
        <v>820</v>
      </c>
      <c r="B44" s="326" t="s">
        <v>3783</v>
      </c>
      <c r="C44" s="326" t="s">
        <v>3782</v>
      </c>
      <c r="D44" s="326" t="s">
        <v>3781</v>
      </c>
      <c r="E44" s="326" t="s">
        <v>3780</v>
      </c>
      <c r="F44" s="326" t="s">
        <v>3779</v>
      </c>
    </row>
    <row r="45" spans="1:6" ht="15" customHeight="1" x14ac:dyDescent="0.35">
      <c r="A45" s="22">
        <v>1</v>
      </c>
      <c r="B45" s="22" t="s">
        <v>3778</v>
      </c>
      <c r="C45" s="328">
        <f>VoltOS_BOM!P5</f>
        <v>3370080</v>
      </c>
      <c r="D45" s="328">
        <f>VoltOS_BOM!S5</f>
        <v>2286840</v>
      </c>
      <c r="E45" s="338">
        <f>C45/RollUp!B63</f>
        <v>0.26532731254081304</v>
      </c>
      <c r="F45" s="316" t="s">
        <v>3777</v>
      </c>
    </row>
    <row r="46" spans="1:6" ht="15" customHeight="1" x14ac:dyDescent="0.35">
      <c r="A46" s="22">
        <v>2</v>
      </c>
      <c r="B46" s="22" t="s">
        <v>3776</v>
      </c>
      <c r="C46" s="328">
        <f>VoltOS_BOM!P13</f>
        <v>2356200</v>
      </c>
      <c r="D46" s="328">
        <f>VoltOS_BOM!S13</f>
        <v>1927800</v>
      </c>
      <c r="E46" s="338">
        <f>C46/RollUp!B63</f>
        <v>0.18550426512387352</v>
      </c>
      <c r="F46" s="316" t="s">
        <v>3775</v>
      </c>
    </row>
    <row r="47" spans="1:6" ht="15" customHeight="1" x14ac:dyDescent="0.35">
      <c r="A47" s="22">
        <v>3</v>
      </c>
      <c r="B47" s="22" t="s">
        <v>3774</v>
      </c>
      <c r="C47" s="328">
        <f>VoltOS_BOM!P6</f>
        <v>1805400</v>
      </c>
      <c r="D47" s="328">
        <f>VoltOS_BOM!S6</f>
        <v>264792</v>
      </c>
      <c r="E47" s="338">
        <f>C47/RollUp!B63</f>
        <v>0.14213963171829269</v>
      </c>
      <c r="F47" s="316" t="s">
        <v>3773</v>
      </c>
    </row>
    <row r="48" spans="1:6" ht="15" customHeight="1" x14ac:dyDescent="0.35">
      <c r="A48" s="22">
        <v>4</v>
      </c>
      <c r="B48" s="22" t="s">
        <v>3772</v>
      </c>
      <c r="C48" s="328">
        <f>VoltOS_BOM!P9</f>
        <v>722820</v>
      </c>
      <c r="D48" s="328">
        <f>VoltOS_BOM!S9</f>
        <v>160000</v>
      </c>
      <c r="E48" s="338">
        <f>C48/RollUp!B63</f>
        <v>5.6907814666343377E-2</v>
      </c>
      <c r="F48" s="316" t="s">
        <v>3771</v>
      </c>
    </row>
    <row r="49" spans="1:6" ht="15" customHeight="1" x14ac:dyDescent="0.35">
      <c r="A49" s="22">
        <v>5</v>
      </c>
      <c r="B49" s="22" t="s">
        <v>3770</v>
      </c>
      <c r="C49" s="328">
        <f>VoltOS_BOM!P7</f>
        <v>722160</v>
      </c>
      <c r="D49" s="328">
        <f>VoltOS_BOM!S7</f>
        <v>457368</v>
      </c>
      <c r="E49" s="338">
        <f>C49/RollUp!B63</f>
        <v>5.6855852687317077E-2</v>
      </c>
      <c r="F49" s="316"/>
    </row>
    <row r="50" spans="1:6" ht="15" customHeight="1" x14ac:dyDescent="0.35">
      <c r="A50" s="22">
        <v>6</v>
      </c>
      <c r="B50" s="22" t="s">
        <v>3769</v>
      </c>
      <c r="C50" s="328">
        <f>VoltOS_BOM!P8</f>
        <v>481950</v>
      </c>
      <c r="D50" s="328">
        <f>VoltOS_BOM!S8</f>
        <v>310590</v>
      </c>
      <c r="E50" s="338">
        <f>C50/RollUp!B63</f>
        <v>3.7944054229883221E-2</v>
      </c>
      <c r="F50" s="316"/>
    </row>
    <row r="51" spans="1:6" ht="15" customHeight="1" x14ac:dyDescent="0.35">
      <c r="A51" s="22">
        <v>7</v>
      </c>
      <c r="B51" s="22" t="s">
        <v>3768</v>
      </c>
      <c r="C51" s="328">
        <f>VoltOS_BOM!P10</f>
        <v>421260</v>
      </c>
      <c r="D51" s="328">
        <f>VoltOS_BOM!S10</f>
        <v>252756</v>
      </c>
      <c r="E51" s="338">
        <f>C51/RollUp!B63</f>
        <v>3.316591406760163E-2</v>
      </c>
      <c r="F51" s="316"/>
    </row>
    <row r="52" spans="1:6" ht="15" customHeight="1" x14ac:dyDescent="0.35">
      <c r="A52" s="22">
        <v>8</v>
      </c>
      <c r="B52" s="22" t="s">
        <v>3767</v>
      </c>
      <c r="C52" s="328">
        <f>VoltOS_BOM!P14</f>
        <v>321300</v>
      </c>
      <c r="D52" s="328">
        <f>VoltOS_BOM!S14</f>
        <v>192780</v>
      </c>
      <c r="E52" s="338">
        <f>C52/RollUp!B63</f>
        <v>2.5296036153255479E-2</v>
      </c>
      <c r="F52" s="316" t="s">
        <v>3766</v>
      </c>
    </row>
    <row r="53" spans="1:6" ht="15" customHeight="1" x14ac:dyDescent="0.35">
      <c r="A53" s="22">
        <v>9</v>
      </c>
      <c r="B53" s="22" t="s">
        <v>3765</v>
      </c>
      <c r="C53" s="328">
        <f>VoltOS_BOM!P11</f>
        <v>270375</v>
      </c>
      <c r="D53" s="328">
        <f>VoltOS_BOM!S11</f>
        <v>151410</v>
      </c>
      <c r="E53" s="338">
        <f>C53/RollUp!B63</f>
        <v>2.1286697089749302E-2</v>
      </c>
      <c r="F53" s="316"/>
    </row>
    <row r="54" spans="1:6" ht="15" customHeight="1" x14ac:dyDescent="0.35">
      <c r="A54" s="22">
        <v>10</v>
      </c>
      <c r="B54" s="22" t="s">
        <v>3764</v>
      </c>
      <c r="C54" s="328">
        <f>VoltOS_BOM!P12</f>
        <v>198320</v>
      </c>
      <c r="D54" s="328">
        <f>VoltOS_BOM!S12</f>
        <v>70000</v>
      </c>
      <c r="E54" s="338">
        <f>C54/RollUp!B63</f>
        <v>1.5613787394689159E-2</v>
      </c>
      <c r="F54" s="316"/>
    </row>
    <row r="56" spans="1:6" ht="15" customHeight="1" x14ac:dyDescent="0.35">
      <c r="A56" s="323" t="s">
        <v>3763</v>
      </c>
    </row>
    <row r="57" spans="1:6" ht="15" customHeight="1" x14ac:dyDescent="0.35">
      <c r="A57" s="326" t="s">
        <v>820</v>
      </c>
      <c r="B57" s="326" t="s">
        <v>3762</v>
      </c>
      <c r="C57" s="326" t="s">
        <v>3761</v>
      </c>
      <c r="D57" s="326" t="s">
        <v>3760</v>
      </c>
      <c r="E57" s="326" t="s">
        <v>3759</v>
      </c>
      <c r="F57" s="326" t="s">
        <v>3758</v>
      </c>
    </row>
    <row r="58" spans="1:6" ht="23.25" customHeight="1" x14ac:dyDescent="0.35">
      <c r="A58" s="22">
        <v>1</v>
      </c>
      <c r="B58" s="316" t="s">
        <v>3757</v>
      </c>
      <c r="C58" s="316" t="s">
        <v>3756</v>
      </c>
      <c r="D58" s="22" t="s">
        <v>3755</v>
      </c>
      <c r="E58" s="316" t="s">
        <v>3754</v>
      </c>
      <c r="F58" s="316" t="s">
        <v>3753</v>
      </c>
    </row>
    <row r="59" spans="1:6" ht="15" customHeight="1" x14ac:dyDescent="0.35">
      <c r="A59" s="22">
        <v>2</v>
      </c>
      <c r="B59" s="316" t="s">
        <v>3752</v>
      </c>
      <c r="C59" s="316" t="s">
        <v>1743</v>
      </c>
      <c r="D59" s="22" t="s">
        <v>3751</v>
      </c>
      <c r="E59" s="316" t="s">
        <v>3750</v>
      </c>
      <c r="F59" s="316" t="s">
        <v>3749</v>
      </c>
    </row>
    <row r="60" spans="1:6" ht="23.25" customHeight="1" x14ac:dyDescent="0.35">
      <c r="A60" s="22">
        <v>3</v>
      </c>
      <c r="B60" s="316" t="s">
        <v>3748</v>
      </c>
      <c r="C60" s="316" t="s">
        <v>3747</v>
      </c>
      <c r="D60" s="22" t="s">
        <v>3746</v>
      </c>
      <c r="E60" s="316" t="s">
        <v>3745</v>
      </c>
      <c r="F60" s="316" t="s">
        <v>3744</v>
      </c>
    </row>
    <row r="61" spans="1:6" ht="23.25" customHeight="1" x14ac:dyDescent="0.35">
      <c r="A61" s="22">
        <v>4</v>
      </c>
      <c r="B61" s="316" t="s">
        <v>3743</v>
      </c>
      <c r="C61" s="316" t="s">
        <v>3742</v>
      </c>
      <c r="D61" s="22" t="s">
        <v>3741</v>
      </c>
      <c r="E61" s="316" t="s">
        <v>3740</v>
      </c>
      <c r="F61" s="316" t="s">
        <v>3739</v>
      </c>
    </row>
    <row r="62" spans="1:6" ht="23.25" customHeight="1" x14ac:dyDescent="0.35">
      <c r="A62" s="22">
        <v>5</v>
      </c>
      <c r="B62" s="316" t="s">
        <v>3738</v>
      </c>
      <c r="C62" s="316" t="s">
        <v>3737</v>
      </c>
      <c r="D62" s="22" t="s">
        <v>3736</v>
      </c>
      <c r="E62" s="316" t="s">
        <v>3735</v>
      </c>
      <c r="F62" s="316" t="s">
        <v>3734</v>
      </c>
    </row>
    <row r="63" spans="1:6" ht="23.25" customHeight="1" x14ac:dyDescent="0.35">
      <c r="A63" s="22">
        <v>6</v>
      </c>
      <c r="B63" s="316" t="s">
        <v>3733</v>
      </c>
      <c r="C63" s="316" t="s">
        <v>3732</v>
      </c>
      <c r="D63" s="22" t="s">
        <v>3731</v>
      </c>
      <c r="E63" s="316" t="s">
        <v>3730</v>
      </c>
      <c r="F63" s="316" t="s">
        <v>3729</v>
      </c>
    </row>
    <row r="64" spans="1:6" ht="15" customHeight="1" x14ac:dyDescent="0.35">
      <c r="A64" s="22">
        <v>7</v>
      </c>
      <c r="B64" s="316" t="s">
        <v>3728</v>
      </c>
      <c r="C64" s="316" t="s">
        <v>1605</v>
      </c>
      <c r="D64" s="22" t="s">
        <v>3727</v>
      </c>
      <c r="E64" s="316" t="s">
        <v>3726</v>
      </c>
      <c r="F64" s="316" t="s">
        <v>3725</v>
      </c>
    </row>
    <row r="65" spans="1:6" ht="15" customHeight="1" x14ac:dyDescent="0.35">
      <c r="A65" s="22">
        <v>8</v>
      </c>
      <c r="B65" s="316" t="s">
        <v>3724</v>
      </c>
      <c r="C65" s="316" t="s">
        <v>3723</v>
      </c>
      <c r="D65" s="22" t="s">
        <v>3722</v>
      </c>
      <c r="E65" s="316" t="s">
        <v>3721</v>
      </c>
      <c r="F65" s="316" t="s">
        <v>3720</v>
      </c>
    </row>
    <row r="66" spans="1:6" ht="23.25" customHeight="1" x14ac:dyDescent="0.35">
      <c r="A66" s="22">
        <v>9</v>
      </c>
      <c r="B66" s="316" t="s">
        <v>3719</v>
      </c>
      <c r="C66" s="316" t="s">
        <v>3718</v>
      </c>
      <c r="D66" s="22" t="s">
        <v>3717</v>
      </c>
      <c r="E66" s="316" t="s">
        <v>3716</v>
      </c>
      <c r="F66" s="316" t="s">
        <v>3715</v>
      </c>
    </row>
    <row r="67" spans="1:6" ht="15" customHeight="1" x14ac:dyDescent="0.35">
      <c r="A67" s="22">
        <v>10</v>
      </c>
      <c r="B67" s="316" t="s">
        <v>3714</v>
      </c>
      <c r="C67" s="316" t="s">
        <v>878</v>
      </c>
      <c r="D67" s="22" t="s">
        <v>3713</v>
      </c>
      <c r="E67" s="316" t="s">
        <v>3712</v>
      </c>
      <c r="F67" s="316" t="s">
        <v>3711</v>
      </c>
    </row>
  </sheetData>
  <pageMargins left="0.75" right="0.75" top="1" bottom="1"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98754"/>
  </sheetPr>
  <dimension ref="B1:G19"/>
  <sheetViews>
    <sheetView zoomScaleNormal="100" workbookViewId="0">
      <selection activeCell="E8" sqref="E8"/>
    </sheetView>
  </sheetViews>
  <sheetFormatPr defaultColWidth="8.54296875" defaultRowHeight="14.5" x14ac:dyDescent="0.35"/>
  <cols>
    <col min="1" max="1" width="4" customWidth="1"/>
    <col min="2" max="2" width="26" customWidth="1"/>
    <col min="3" max="3" width="42.7265625" bestFit="1" customWidth="1"/>
    <col min="4" max="6" width="18" customWidth="1"/>
    <col min="7" max="7" width="24" customWidth="1"/>
  </cols>
  <sheetData>
    <row r="1" spans="2:7" ht="30" customHeight="1" x14ac:dyDescent="0.35">
      <c r="B1" s="487" t="s">
        <v>2663</v>
      </c>
      <c r="C1" s="487"/>
      <c r="D1" s="487"/>
      <c r="E1" s="487"/>
      <c r="F1" s="487"/>
      <c r="G1" s="487"/>
    </row>
    <row r="3" spans="2:7" ht="15" customHeight="1" x14ac:dyDescent="0.35">
      <c r="B3" s="485" t="s">
        <v>2664</v>
      </c>
      <c r="C3" s="485"/>
      <c r="D3" s="485"/>
      <c r="E3" s="485"/>
      <c r="F3" s="485"/>
      <c r="G3" s="485"/>
    </row>
    <row r="4" spans="2:7" ht="15" customHeight="1" x14ac:dyDescent="0.35">
      <c r="B4" s="15" t="s">
        <v>2471</v>
      </c>
      <c r="C4" s="15" t="s">
        <v>2665</v>
      </c>
      <c r="D4" s="15" t="s">
        <v>2666</v>
      </c>
      <c r="E4" s="15" t="s">
        <v>2667</v>
      </c>
      <c r="F4" s="15" t="s">
        <v>2668</v>
      </c>
      <c r="G4" s="15" t="s">
        <v>2605</v>
      </c>
    </row>
    <row r="5" spans="2:7" ht="15" customHeight="1" x14ac:dyDescent="0.35">
      <c r="B5" s="1" t="s">
        <v>2477</v>
      </c>
      <c r="C5" t="s">
        <v>2669</v>
      </c>
      <c r="D5" s="56">
        <v>600000</v>
      </c>
      <c r="E5" s="52">
        <f>SwapPrice</f>
        <v>500000</v>
      </c>
      <c r="F5" s="49">
        <f>(E5-D5)/D5</f>
        <v>-0.16666666666666666</v>
      </c>
      <c r="G5" t="s">
        <v>2670</v>
      </c>
    </row>
    <row r="6" spans="2:7" ht="15" customHeight="1" x14ac:dyDescent="0.35">
      <c r="B6" s="1" t="s">
        <v>2477</v>
      </c>
      <c r="C6" t="s">
        <v>2671</v>
      </c>
      <c r="D6" s="56">
        <v>850000</v>
      </c>
      <c r="E6" s="52">
        <f>SwapPrice</f>
        <v>500000</v>
      </c>
      <c r="F6" s="49">
        <f>(E6-D6)/D6</f>
        <v>-0.41176470588235292</v>
      </c>
      <c r="G6" t="s">
        <v>2672</v>
      </c>
    </row>
    <row r="7" spans="2:7" ht="15" customHeight="1" x14ac:dyDescent="0.35">
      <c r="B7" s="1" t="s">
        <v>2479</v>
      </c>
      <c r="C7" t="s">
        <v>2673</v>
      </c>
      <c r="D7" s="56">
        <v>100000</v>
      </c>
      <c r="E7" s="52">
        <f>MicroPrice</f>
        <v>150000</v>
      </c>
      <c r="F7" s="49">
        <f>(E7-D7)/D7</f>
        <v>0.5</v>
      </c>
      <c r="G7" t="s">
        <v>2674</v>
      </c>
    </row>
    <row r="8" spans="2:7" ht="15" customHeight="1" x14ac:dyDescent="0.35">
      <c r="B8" s="1" t="s">
        <v>2479</v>
      </c>
      <c r="C8" t="s">
        <v>2675</v>
      </c>
      <c r="D8" s="56">
        <v>1500</v>
      </c>
      <c r="E8" s="52">
        <f>MicroPrice/30</f>
        <v>5000</v>
      </c>
      <c r="F8" s="57" t="s">
        <v>2676</v>
      </c>
      <c r="G8" t="s">
        <v>2677</v>
      </c>
    </row>
    <row r="9" spans="2:7" ht="15" customHeight="1" x14ac:dyDescent="0.35">
      <c r="B9" s="1" t="s">
        <v>2678</v>
      </c>
      <c r="C9" t="s">
        <v>2679</v>
      </c>
      <c r="D9" s="56">
        <v>980000</v>
      </c>
      <c r="E9" s="56">
        <v>800000</v>
      </c>
      <c r="F9" s="49">
        <f>(E9-D9)/D9</f>
        <v>-0.18367346938775511</v>
      </c>
      <c r="G9" t="s">
        <v>2680</v>
      </c>
    </row>
    <row r="10" spans="2:7" ht="15" customHeight="1" x14ac:dyDescent="0.35">
      <c r="B10" s="1" t="s">
        <v>2681</v>
      </c>
      <c r="C10" t="s">
        <v>2585</v>
      </c>
      <c r="D10" s="56">
        <v>250000</v>
      </c>
      <c r="E10" s="52">
        <f>PassportARPU*FX</f>
        <v>2400000</v>
      </c>
      <c r="F10" s="49">
        <f>(E10-D10)/D10</f>
        <v>8.6</v>
      </c>
      <c r="G10" t="s">
        <v>2682</v>
      </c>
    </row>
    <row r="13" spans="2:7" ht="15" customHeight="1" x14ac:dyDescent="0.35">
      <c r="B13" s="485" t="s">
        <v>2683</v>
      </c>
      <c r="C13" s="485"/>
      <c r="D13" s="485"/>
      <c r="E13" s="485"/>
      <c r="F13" s="485"/>
      <c r="G13" s="485"/>
    </row>
    <row r="14" spans="2:7" ht="15" customHeight="1" x14ac:dyDescent="0.35">
      <c r="B14" s="15" t="s">
        <v>2684</v>
      </c>
      <c r="C14" s="15" t="s">
        <v>2685</v>
      </c>
      <c r="D14" s="15" t="s">
        <v>2686</v>
      </c>
      <c r="E14" s="15" t="s">
        <v>2687</v>
      </c>
    </row>
    <row r="15" spans="2:7" ht="15" customHeight="1" x14ac:dyDescent="0.35">
      <c r="B15" s="1" t="s">
        <v>2688</v>
      </c>
      <c r="C15" t="s">
        <v>2689</v>
      </c>
      <c r="D15" t="s">
        <v>2690</v>
      </c>
      <c r="E15" t="s">
        <v>2691</v>
      </c>
    </row>
    <row r="16" spans="2:7" ht="15" customHeight="1" x14ac:dyDescent="0.35">
      <c r="B16" s="1" t="s">
        <v>2692</v>
      </c>
      <c r="C16" t="s">
        <v>2693</v>
      </c>
      <c r="D16" t="s">
        <v>2694</v>
      </c>
      <c r="E16" t="s">
        <v>2681</v>
      </c>
    </row>
    <row r="17" spans="2:5" ht="15" customHeight="1" x14ac:dyDescent="0.35">
      <c r="B17" s="1" t="s">
        <v>2695</v>
      </c>
      <c r="C17" t="s">
        <v>2696</v>
      </c>
      <c r="D17" t="s">
        <v>2697</v>
      </c>
      <c r="E17" t="s">
        <v>2698</v>
      </c>
    </row>
    <row r="18" spans="2:5" ht="15" customHeight="1" x14ac:dyDescent="0.35">
      <c r="B18" s="1" t="s">
        <v>2699</v>
      </c>
      <c r="C18" t="s">
        <v>2700</v>
      </c>
      <c r="D18" t="s">
        <v>2701</v>
      </c>
      <c r="E18" t="s">
        <v>2702</v>
      </c>
    </row>
    <row r="19" spans="2:5" ht="15" customHeight="1" x14ac:dyDescent="0.35">
      <c r="B19" s="1" t="s">
        <v>2703</v>
      </c>
      <c r="C19" t="s">
        <v>2704</v>
      </c>
      <c r="D19" t="s">
        <v>2705</v>
      </c>
      <c r="E19" t="s">
        <v>2706</v>
      </c>
    </row>
  </sheetData>
  <mergeCells count="3">
    <mergeCell ref="B1:G1"/>
    <mergeCell ref="B3:G3"/>
    <mergeCell ref="B13:G13"/>
  </mergeCells>
  <pageMargins left="0.75" right="0.75" top="1" bottom="1"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9"/>
  </sheetPr>
  <dimension ref="B1:H60"/>
  <sheetViews>
    <sheetView zoomScaleNormal="100" workbookViewId="0">
      <pane xSplit="2" ySplit="4" topLeftCell="C35" activePane="bottomRight" state="frozen"/>
      <selection pane="topRight" activeCell="C1" sqref="C1"/>
      <selection pane="bottomLeft" activeCell="A5" sqref="A5"/>
      <selection pane="bottomRight" activeCell="C37" sqref="C37"/>
    </sheetView>
  </sheetViews>
  <sheetFormatPr defaultColWidth="8.54296875" defaultRowHeight="14.5" x14ac:dyDescent="0.35"/>
  <cols>
    <col min="1" max="1" width="3" customWidth="1"/>
    <col min="2" max="2" width="32" customWidth="1"/>
    <col min="3" max="8" width="16" customWidth="1"/>
  </cols>
  <sheetData>
    <row r="1" spans="2:8" ht="30" customHeight="1" x14ac:dyDescent="0.35">
      <c r="B1" s="487" t="s">
        <v>2707</v>
      </c>
      <c r="C1" s="487"/>
      <c r="D1" s="487"/>
      <c r="E1" s="487"/>
      <c r="F1" s="487"/>
      <c r="G1" s="487"/>
    </row>
    <row r="3" spans="2:8" ht="15" customHeight="1" x14ac:dyDescent="0.35">
      <c r="C3" s="11" t="s">
        <v>12</v>
      </c>
      <c r="D3" s="11" t="s">
        <v>13</v>
      </c>
      <c r="E3" s="11" t="s">
        <v>14</v>
      </c>
      <c r="F3" s="11" t="s">
        <v>15</v>
      </c>
      <c r="G3" s="11" t="s">
        <v>16</v>
      </c>
      <c r="H3" s="11" t="s">
        <v>2708</v>
      </c>
    </row>
    <row r="4" spans="2:8" x14ac:dyDescent="0.35">
      <c r="B4" s="189" t="s">
        <v>2709</v>
      </c>
      <c r="C4" s="199">
        <v>0.5</v>
      </c>
      <c r="D4" s="199">
        <v>0.7</v>
      </c>
      <c r="E4" s="199">
        <v>0.85</v>
      </c>
      <c r="F4" s="199">
        <v>0.95</v>
      </c>
      <c r="G4" s="199">
        <v>1</v>
      </c>
    </row>
    <row r="5" spans="2:8" ht="15" customHeight="1" x14ac:dyDescent="0.35">
      <c r="B5" s="550" t="s">
        <v>2710</v>
      </c>
      <c r="C5" s="550"/>
      <c r="D5" s="550"/>
      <c r="E5" s="550"/>
      <c r="F5" s="550"/>
      <c r="G5" s="550"/>
      <c r="H5" s="550"/>
    </row>
    <row r="6" spans="2:8" ht="15" customHeight="1" x14ac:dyDescent="0.35">
      <c r="B6" t="s">
        <v>2711</v>
      </c>
      <c r="C6" s="14">
        <f>INDEX(HubsRow,1)</f>
        <v>2</v>
      </c>
      <c r="D6" s="14">
        <f>INDEX(HubsRow,2)</f>
        <v>8</v>
      </c>
      <c r="E6" s="14">
        <f>INDEX(HubsRow,3)</f>
        <v>25</v>
      </c>
      <c r="F6" s="14">
        <f>INDEX(HubsRow,4)</f>
        <v>50</v>
      </c>
      <c r="G6" s="14">
        <f>INDEX(HubsRow,5)</f>
        <v>80</v>
      </c>
    </row>
    <row r="7" spans="2:8" ht="15" customHeight="1" x14ac:dyDescent="0.35">
      <c r="B7" t="s">
        <v>2712</v>
      </c>
      <c r="C7" s="14">
        <f>INDEX(CouriersPerHub,1)</f>
        <v>25</v>
      </c>
      <c r="D7" s="14">
        <f>INDEX(CouriersPerHub,2)</f>
        <v>35</v>
      </c>
      <c r="E7" s="14">
        <f>INDEX(CouriersPerHub,3)</f>
        <v>45</v>
      </c>
      <c r="F7" s="14">
        <f>INDEX(CouriersPerHub,4)</f>
        <v>50</v>
      </c>
      <c r="G7" s="14">
        <f>INDEX(CouriersPerHub,5)</f>
        <v>55</v>
      </c>
    </row>
    <row r="8" spans="2:8" ht="15" customHeight="1" x14ac:dyDescent="0.35">
      <c r="B8" t="s">
        <v>2713</v>
      </c>
      <c r="C8" s="48">
        <f>C6*C7</f>
        <v>50</v>
      </c>
      <c r="D8" s="48">
        <f>D6*D7</f>
        <v>280</v>
      </c>
      <c r="E8" s="48">
        <f>E6*E7</f>
        <v>1125</v>
      </c>
      <c r="F8" s="48">
        <f>F6*F7</f>
        <v>2500</v>
      </c>
      <c r="G8" s="48">
        <f>G6*G7</f>
        <v>4400</v>
      </c>
    </row>
    <row r="9" spans="2:8" ht="15" customHeight="1" x14ac:dyDescent="0.35">
      <c r="B9" t="s">
        <v>2714</v>
      </c>
      <c r="C9" s="49">
        <f>HubUtilization*C4</f>
        <v>0.3</v>
      </c>
      <c r="D9" s="49">
        <f>HubUtilization*D4</f>
        <v>0.42</v>
      </c>
      <c r="E9" s="49">
        <f>HubUtilization*E4</f>
        <v>0.51</v>
      </c>
      <c r="F9" s="49">
        <f>HubUtilization*F4</f>
        <v>0.56999999999999995</v>
      </c>
      <c r="G9" s="49">
        <f>HubUtilization*G4</f>
        <v>0.6</v>
      </c>
    </row>
    <row r="10" spans="2:8" ht="15" customHeight="1" x14ac:dyDescent="0.35">
      <c r="B10" t="s">
        <v>2715</v>
      </c>
      <c r="C10" s="50">
        <f>SwapPrice*(1+Inflation)^0</f>
        <v>500000</v>
      </c>
      <c r="D10" s="50">
        <f>SwapPrice*(1+Inflation)^1</f>
        <v>517499.99999999994</v>
      </c>
      <c r="E10" s="50">
        <f>SwapPrice*(1+Inflation)^2</f>
        <v>535612.49999999988</v>
      </c>
      <c r="F10" s="50">
        <f>SwapPrice*(1+Inflation)^3</f>
        <v>554358.93749999988</v>
      </c>
      <c r="G10" s="50">
        <f>SwapPrice*(1+Inflation)^4</f>
        <v>573761.50031249982</v>
      </c>
    </row>
    <row r="11" spans="2:8" ht="15" customHeight="1" x14ac:dyDescent="0.35">
      <c r="B11" t="s">
        <v>2716</v>
      </c>
      <c r="C11" s="51">
        <f>C8*C9*C10*12</f>
        <v>90000000</v>
      </c>
      <c r="D11" s="51">
        <f>D8*D9*D10*12</f>
        <v>730295999.99999988</v>
      </c>
      <c r="E11" s="51">
        <f>E8*E9*E10*12</f>
        <v>3687692062.499999</v>
      </c>
      <c r="F11" s="51">
        <f>F8*F9*F10*12</f>
        <v>9479537831.2499962</v>
      </c>
      <c r="G11" s="51">
        <f>G8*G9*G10*12</f>
        <v>18176764329.899994</v>
      </c>
      <c r="H11" s="49">
        <f>IFERROR((G11/C11)^(1/4)-1,0)</f>
        <v>2.7698017937543948</v>
      </c>
    </row>
    <row r="13" spans="2:8" ht="15" customHeight="1" x14ac:dyDescent="0.35">
      <c r="B13" s="550" t="s">
        <v>2717</v>
      </c>
      <c r="C13" s="550"/>
      <c r="D13" s="550"/>
      <c r="E13" s="550"/>
      <c r="F13" s="550"/>
      <c r="G13" s="550"/>
      <c r="H13" s="550"/>
    </row>
    <row r="14" spans="2:8" ht="15" customHeight="1" x14ac:dyDescent="0.35">
      <c r="B14" t="s">
        <v>24</v>
      </c>
      <c r="C14" s="14">
        <f>INDEX(MicrogridsRow,1)</f>
        <v>1</v>
      </c>
      <c r="D14" s="14">
        <f>INDEX(MicrogridsRow,2)</f>
        <v>4</v>
      </c>
      <c r="E14" s="14">
        <f>INDEX(MicrogridsRow,3)</f>
        <v>18</v>
      </c>
      <c r="F14" s="14">
        <f>INDEX(MicrogridsRow,4)</f>
        <v>38</v>
      </c>
      <c r="G14" s="14">
        <f>INDEX(MicrogridsRow,5)</f>
        <v>60</v>
      </c>
    </row>
    <row r="15" spans="2:8" ht="15" customHeight="1" x14ac:dyDescent="0.35">
      <c r="B15" t="s">
        <v>2718</v>
      </c>
      <c r="C15" s="14">
        <f>INDEX(HomesPerMG,1)</f>
        <v>160</v>
      </c>
      <c r="D15" s="14">
        <f>INDEX(HomesPerMG,2)</f>
        <v>160</v>
      </c>
      <c r="E15" s="14">
        <f>INDEX(HomesPerMG,3)</f>
        <v>165</v>
      </c>
      <c r="F15" s="14">
        <f>INDEX(HomesPerMG,4)</f>
        <v>170</v>
      </c>
      <c r="G15" s="14">
        <f>INDEX(HomesPerMG,5)</f>
        <v>175</v>
      </c>
    </row>
    <row r="16" spans="2:8" ht="15" customHeight="1" x14ac:dyDescent="0.35">
      <c r="B16" t="s">
        <v>2719</v>
      </c>
      <c r="C16" s="48">
        <f>C14*C15</f>
        <v>160</v>
      </c>
      <c r="D16" s="48">
        <f>D14*D15</f>
        <v>640</v>
      </c>
      <c r="E16" s="48">
        <f>E14*E15</f>
        <v>2970</v>
      </c>
      <c r="F16" s="48">
        <f>F14*F15</f>
        <v>6460</v>
      </c>
      <c r="G16" s="48">
        <f>G14*G15</f>
        <v>10500</v>
      </c>
    </row>
    <row r="17" spans="2:8" ht="15" customHeight="1" x14ac:dyDescent="0.35">
      <c r="B17" t="s">
        <v>2720</v>
      </c>
      <c r="C17" s="13">
        <f>MicrogridUptime</f>
        <v>0.98</v>
      </c>
      <c r="D17" s="13">
        <f>MicrogridUptime</f>
        <v>0.98</v>
      </c>
      <c r="E17" s="13">
        <f>MicrogridUptime</f>
        <v>0.98</v>
      </c>
      <c r="F17" s="13">
        <f>MicrogridUptime</f>
        <v>0.98</v>
      </c>
      <c r="G17" s="13">
        <f>MicrogridUptime</f>
        <v>0.98</v>
      </c>
    </row>
    <row r="18" spans="2:8" ht="15" customHeight="1" x14ac:dyDescent="0.35">
      <c r="B18" t="s">
        <v>2721</v>
      </c>
      <c r="C18" s="50">
        <f>MicroPrice*(1+Inflation)^0</f>
        <v>150000</v>
      </c>
      <c r="D18" s="50">
        <f>MicroPrice*(1+Inflation)^1</f>
        <v>155250</v>
      </c>
      <c r="E18" s="50">
        <f>MicroPrice*(1+Inflation)^2</f>
        <v>160683.74999999997</v>
      </c>
      <c r="F18" s="50">
        <f>MicroPrice*(1+Inflation)^3</f>
        <v>166307.68124999997</v>
      </c>
      <c r="G18" s="50">
        <f>MicroPrice*(1+Inflation)^4</f>
        <v>172128.45009374994</v>
      </c>
    </row>
    <row r="19" spans="2:8" ht="15" customHeight="1" x14ac:dyDescent="0.35">
      <c r="B19" t="s">
        <v>2722</v>
      </c>
      <c r="C19" s="51">
        <f>C16*C17*C18*12</f>
        <v>282240000</v>
      </c>
      <c r="D19" s="51">
        <f>D16*D17*D18*12</f>
        <v>1168473600</v>
      </c>
      <c r="E19" s="51">
        <f>E16*E17*E18*12</f>
        <v>5612233472.9999981</v>
      </c>
      <c r="F19" s="51">
        <f>F16*F17*F18*12</f>
        <v>12634328021.489998</v>
      </c>
      <c r="G19" s="51">
        <f>G16*G17*G18*12</f>
        <v>21254421017.576241</v>
      </c>
      <c r="H19" s="49">
        <f>IFERROR((G19/C19)^(1/4)-1,0)</f>
        <v>1.9458299880194971</v>
      </c>
    </row>
    <row r="21" spans="2:8" ht="15" customHeight="1" x14ac:dyDescent="0.35">
      <c r="B21" s="550" t="s">
        <v>2723</v>
      </c>
      <c r="C21" s="550"/>
      <c r="D21" s="550"/>
      <c r="E21" s="550"/>
      <c r="F21" s="550"/>
      <c r="G21" s="550"/>
      <c r="H21" s="550"/>
    </row>
    <row r="22" spans="2:8" ht="15" customHeight="1" x14ac:dyDescent="0.35">
      <c r="B22" t="s">
        <v>2724</v>
      </c>
      <c r="C22" s="23">
        <v>0.05</v>
      </c>
      <c r="D22" s="23">
        <v>0.1</v>
      </c>
      <c r="E22" s="23">
        <v>0.15</v>
      </c>
      <c r="F22" s="23">
        <v>0.18</v>
      </c>
      <c r="G22" s="23">
        <v>0.2</v>
      </c>
    </row>
    <row r="23" spans="2:8" ht="15" customHeight="1" x14ac:dyDescent="0.35">
      <c r="B23" t="s">
        <v>2725</v>
      </c>
      <c r="C23" s="48">
        <f>C8*C22</f>
        <v>2.5</v>
      </c>
      <c r="D23" s="48">
        <f>D8*D22</f>
        <v>28</v>
      </c>
      <c r="E23" s="48">
        <f>E8*E22</f>
        <v>168.75</v>
      </c>
      <c r="F23" s="48">
        <f>F8*F22</f>
        <v>450</v>
      </c>
      <c r="G23" s="48">
        <f>G8*G22</f>
        <v>880</v>
      </c>
    </row>
    <row r="24" spans="2:8" ht="15" customHeight="1" x14ac:dyDescent="0.35">
      <c r="B24" t="s">
        <v>2726</v>
      </c>
      <c r="C24" s="37">
        <v>700000</v>
      </c>
      <c r="D24" s="37">
        <v>750000</v>
      </c>
      <c r="E24" s="37">
        <v>800000</v>
      </c>
      <c r="F24" s="37">
        <v>850000</v>
      </c>
      <c r="G24" s="37">
        <v>900000</v>
      </c>
    </row>
    <row r="25" spans="2:8" ht="15" customHeight="1" x14ac:dyDescent="0.35">
      <c r="B25" t="s">
        <v>2727</v>
      </c>
      <c r="C25" s="51">
        <f>C23*C24*12</f>
        <v>21000000</v>
      </c>
      <c r="D25" s="51">
        <f>D23*D24*12</f>
        <v>252000000</v>
      </c>
      <c r="E25" s="51">
        <f>E23*E24*12</f>
        <v>1620000000</v>
      </c>
      <c r="F25" s="51">
        <f>F23*F24*12</f>
        <v>4590000000</v>
      </c>
      <c r="G25" s="51">
        <f>G23*G24*12</f>
        <v>9504000000</v>
      </c>
      <c r="H25" s="49">
        <f>IFERROR((G25/C25)^(1/4)-1,0)</f>
        <v>3.6123449838742596</v>
      </c>
    </row>
    <row r="27" spans="2:8" ht="15" customHeight="1" x14ac:dyDescent="0.35">
      <c r="B27" s="550" t="s">
        <v>2728</v>
      </c>
      <c r="C27" s="550"/>
      <c r="D27" s="550"/>
      <c r="E27" s="550"/>
      <c r="F27" s="550"/>
      <c r="G27" s="550"/>
      <c r="H27" s="550"/>
    </row>
    <row r="28" spans="2:8" ht="15" customHeight="1" x14ac:dyDescent="0.35">
      <c r="B28" t="s">
        <v>27</v>
      </c>
      <c r="C28" s="14">
        <f>ESG!C10</f>
        <v>96.474999999999994</v>
      </c>
      <c r="D28" s="14">
        <f>ESG!D10</f>
        <v>526.9</v>
      </c>
      <c r="E28" s="14">
        <f>ESG!E10</f>
        <v>2199.8250000000003</v>
      </c>
      <c r="F28" s="14">
        <f>ESG!F10</f>
        <v>5049.8500000000004</v>
      </c>
      <c r="G28" s="14">
        <f>ESG!G10</f>
        <v>8962.5</v>
      </c>
    </row>
    <row r="29" spans="2:8" ht="15" customHeight="1" x14ac:dyDescent="0.35">
      <c r="B29" t="s">
        <v>2729</v>
      </c>
      <c r="C29" s="52">
        <f>CarbonPriceID</f>
        <v>96000</v>
      </c>
      <c r="D29" s="52">
        <f>CarbonPriceID</f>
        <v>96000</v>
      </c>
      <c r="E29" s="52">
        <f>CarbonPriceID</f>
        <v>96000</v>
      </c>
      <c r="F29" s="52">
        <f>CarbonPriceID</f>
        <v>96000</v>
      </c>
      <c r="G29" s="52">
        <f>CarbonPriceID</f>
        <v>96000</v>
      </c>
    </row>
    <row r="30" spans="2:8" ht="15" customHeight="1" x14ac:dyDescent="0.35">
      <c r="B30" t="s">
        <v>2730</v>
      </c>
      <c r="C30" s="13">
        <f>CarbonMonetization</f>
        <v>0.7</v>
      </c>
      <c r="D30" s="13">
        <f>CarbonMonetization</f>
        <v>0.7</v>
      </c>
      <c r="E30" s="13">
        <f>CarbonMonetization</f>
        <v>0.7</v>
      </c>
      <c r="F30" s="13">
        <f>CarbonMonetization</f>
        <v>0.7</v>
      </c>
      <c r="G30" s="13">
        <f>CarbonMonetization</f>
        <v>0.7</v>
      </c>
    </row>
    <row r="31" spans="2:8" ht="15" customHeight="1" x14ac:dyDescent="0.35">
      <c r="B31" t="s">
        <v>2731</v>
      </c>
      <c r="C31" s="51">
        <f>C28*C29*C30</f>
        <v>6483120</v>
      </c>
      <c r="D31" s="51">
        <f>D28*D29*D30</f>
        <v>35407680</v>
      </c>
      <c r="E31" s="51">
        <f>E28*E29*E30</f>
        <v>147828240</v>
      </c>
      <c r="F31" s="51">
        <f>F28*F29*F30</f>
        <v>339349920</v>
      </c>
      <c r="G31" s="51">
        <f>G28*G29*G30</f>
        <v>602280000</v>
      </c>
    </row>
    <row r="33" spans="2:8" ht="15" customHeight="1" x14ac:dyDescent="0.35">
      <c r="B33" s="550" t="s">
        <v>2732</v>
      </c>
      <c r="C33" s="550"/>
      <c r="D33" s="550"/>
      <c r="E33" s="550"/>
      <c r="F33" s="550"/>
      <c r="G33" s="550"/>
      <c r="H33" s="550"/>
    </row>
    <row r="34" spans="2:8" ht="15" customHeight="1" x14ac:dyDescent="0.35">
      <c r="B34" t="s">
        <v>2733</v>
      </c>
      <c r="C34" s="14">
        <f>INDEX(BatteriesRow,1)</f>
        <v>50</v>
      </c>
      <c r="D34" s="14">
        <f>INDEX(BatteriesRow,2)</f>
        <v>250</v>
      </c>
      <c r="E34" s="14">
        <f>INDEX(BatteriesRow,3)</f>
        <v>900</v>
      </c>
      <c r="F34" s="14">
        <f>INDEX(BatteriesRow,4)</f>
        <v>2200</v>
      </c>
      <c r="G34" s="14">
        <f>INDEX(BatteriesRow,5)</f>
        <v>4000</v>
      </c>
    </row>
    <row r="35" spans="2:8" ht="15" customHeight="1" x14ac:dyDescent="0.35">
      <c r="B35" t="s">
        <v>2734</v>
      </c>
      <c r="C35" s="50">
        <f>PassportARPU*FX</f>
        <v>2400000</v>
      </c>
      <c r="D35" s="50">
        <f>PassportARPU*FX</f>
        <v>2400000</v>
      </c>
      <c r="E35" s="50">
        <f>PassportARPU*FX</f>
        <v>2400000</v>
      </c>
      <c r="F35" s="50">
        <f>PassportARPU*FX</f>
        <v>2400000</v>
      </c>
      <c r="G35" s="50">
        <f>PassportARPU*FX</f>
        <v>2400000</v>
      </c>
    </row>
    <row r="36" spans="2:8" ht="15" customHeight="1" x14ac:dyDescent="0.35">
      <c r="B36" t="s">
        <v>2735</v>
      </c>
      <c r="C36" s="23">
        <v>0.3</v>
      </c>
      <c r="D36" s="23">
        <v>0.5</v>
      </c>
      <c r="E36" s="23">
        <v>0.7</v>
      </c>
      <c r="F36" s="23">
        <v>0.85</v>
      </c>
      <c r="G36" s="23">
        <v>0.95</v>
      </c>
    </row>
    <row r="37" spans="2:8" ht="15" customHeight="1" x14ac:dyDescent="0.35">
      <c r="B37" t="s">
        <v>2736</v>
      </c>
      <c r="C37" s="39">
        <f>C34*C35*C36</f>
        <v>36000000</v>
      </c>
      <c r="D37" s="39">
        <f>D34*D35*D36</f>
        <v>300000000</v>
      </c>
      <c r="E37" s="39">
        <f>E34*E35*E36</f>
        <v>1512000000</v>
      </c>
      <c r="F37" s="39">
        <f>F34*F35*F36</f>
        <v>4488000000</v>
      </c>
      <c r="G37" s="39">
        <f>G34*G35*G36</f>
        <v>9120000000</v>
      </c>
    </row>
    <row r="39" spans="2:8" ht="15" customHeight="1" x14ac:dyDescent="0.35">
      <c r="B39" s="550" t="s">
        <v>2737</v>
      </c>
      <c r="C39" s="550"/>
      <c r="D39" s="550"/>
      <c r="E39" s="550"/>
      <c r="F39" s="550"/>
      <c r="G39" s="550"/>
      <c r="H39" s="550"/>
    </row>
    <row r="40" spans="2:8" ht="15" customHeight="1" x14ac:dyDescent="0.35">
      <c r="B40" t="s">
        <v>2738</v>
      </c>
      <c r="C40" s="14">
        <f>INDEX(OEMcustomers,1)</f>
        <v>0</v>
      </c>
      <c r="D40" s="14">
        <f>INDEX(OEMcustomers,2)</f>
        <v>1</v>
      </c>
      <c r="E40" s="14">
        <f>INDEX(OEMcustomers,3)</f>
        <v>3</v>
      </c>
      <c r="F40" s="14">
        <f>INDEX(OEMcustomers,4)</f>
        <v>6</v>
      </c>
      <c r="G40" s="14">
        <f>INDEX(OEMcustomers,5)</f>
        <v>10</v>
      </c>
    </row>
    <row r="41" spans="2:8" ht="15" customHeight="1" x14ac:dyDescent="0.35">
      <c r="B41" t="s">
        <v>2739</v>
      </c>
      <c r="C41" s="50">
        <f>OEMARPU*FX</f>
        <v>400000000</v>
      </c>
      <c r="D41" s="50">
        <f>OEMARPU*FX*(1+Inflation)^1</f>
        <v>413999999.99999994</v>
      </c>
      <c r="E41" s="50">
        <f>OEMARPU*FX*(1+Inflation)^2</f>
        <v>428489999.99999994</v>
      </c>
      <c r="F41" s="50">
        <f>OEMARPU*FX*(1+Inflation)^3</f>
        <v>443487149.99999988</v>
      </c>
      <c r="G41" s="50">
        <f>OEMARPU*FX*(1+Inflation)^4</f>
        <v>459009200.24999988</v>
      </c>
    </row>
    <row r="42" spans="2:8" ht="15" customHeight="1" x14ac:dyDescent="0.35">
      <c r="B42" t="s">
        <v>2740</v>
      </c>
      <c r="C42" s="39">
        <f>C40*C41</f>
        <v>0</v>
      </c>
      <c r="D42" s="39">
        <f>D40*D41</f>
        <v>413999999.99999994</v>
      </c>
      <c r="E42" s="39">
        <f>E40*E41</f>
        <v>1285469999.9999998</v>
      </c>
      <c r="F42" s="39">
        <f>F40*F41</f>
        <v>2660922899.999999</v>
      </c>
      <c r="G42" s="39">
        <f>G40*G41</f>
        <v>4590092002.499999</v>
      </c>
    </row>
    <row r="44" spans="2:8" ht="15" customHeight="1" x14ac:dyDescent="0.35">
      <c r="B44" s="550" t="s">
        <v>2741</v>
      </c>
      <c r="C44" s="550"/>
      <c r="D44" s="550"/>
      <c r="E44" s="550"/>
      <c r="F44" s="550"/>
      <c r="G44" s="550"/>
      <c r="H44" s="550"/>
    </row>
    <row r="45" spans="2:8" ht="15" customHeight="1" x14ac:dyDescent="0.35">
      <c r="B45" t="s">
        <v>2742</v>
      </c>
      <c r="C45" s="53">
        <v>0</v>
      </c>
      <c r="D45" s="53">
        <v>0</v>
      </c>
      <c r="E45" s="53">
        <v>50000000</v>
      </c>
      <c r="F45" s="53">
        <v>200000000</v>
      </c>
      <c r="G45" s="53">
        <v>360000000</v>
      </c>
    </row>
    <row r="47" spans="2:8" ht="15" customHeight="1" x14ac:dyDescent="0.35">
      <c r="B47" s="550" t="s">
        <v>2743</v>
      </c>
      <c r="C47" s="550"/>
      <c r="D47" s="550"/>
      <c r="E47" s="550"/>
      <c r="F47" s="550"/>
      <c r="G47" s="550"/>
      <c r="H47" s="550"/>
    </row>
    <row r="48" spans="2:8" ht="15" customHeight="1" x14ac:dyDescent="0.35">
      <c r="B48" t="s">
        <v>2744</v>
      </c>
      <c r="C48" s="53">
        <v>16000000</v>
      </c>
      <c r="D48" s="53">
        <v>80000000</v>
      </c>
      <c r="E48" s="53">
        <v>200000000</v>
      </c>
      <c r="F48" s="53">
        <v>400000000</v>
      </c>
      <c r="G48" s="53">
        <v>340000000</v>
      </c>
    </row>
    <row r="50" spans="2:8" ht="15" customHeight="1" x14ac:dyDescent="0.35">
      <c r="B50" s="54" t="s">
        <v>2745</v>
      </c>
      <c r="C50" s="55">
        <f>C11+C19+C25+C31+C37+C42+C45+C48</f>
        <v>451723120</v>
      </c>
      <c r="D50" s="55">
        <f>D11+D19+D25+D31+D37+D42+D45+D48</f>
        <v>2980177280</v>
      </c>
      <c r="E50" s="55">
        <f>E11+E19+E25+E31+E37+E42+E45+E48</f>
        <v>14115223775.499996</v>
      </c>
      <c r="F50" s="55">
        <f>F11+F19+F25+F31+F37+F42+F45+F48</f>
        <v>34792138672.73999</v>
      </c>
      <c r="G50" s="55">
        <f>G11+G19+G25+G31+G37+G42+G45+G48</f>
        <v>63947557349.976234</v>
      </c>
    </row>
    <row r="52" spans="2:8" ht="15" customHeight="1" x14ac:dyDescent="0.35">
      <c r="B52" s="485" t="s">
        <v>2746</v>
      </c>
      <c r="C52" s="485"/>
      <c r="D52" s="485"/>
      <c r="E52" s="485"/>
      <c r="F52" s="485"/>
      <c r="G52" s="485"/>
      <c r="H52" s="485"/>
    </row>
    <row r="53" spans="2:8" ht="15" customHeight="1" x14ac:dyDescent="0.35">
      <c r="B53" t="s">
        <v>2747</v>
      </c>
      <c r="C53" s="49">
        <f>G11/G50</f>
        <v>0.28424485755446527</v>
      </c>
    </row>
    <row r="54" spans="2:8" ht="15" customHeight="1" x14ac:dyDescent="0.35">
      <c r="B54" t="s">
        <v>2748</v>
      </c>
      <c r="C54" s="49">
        <f>G19/G50</f>
        <v>0.33237268002675541</v>
      </c>
    </row>
    <row r="55" spans="2:8" ht="15" customHeight="1" x14ac:dyDescent="0.35">
      <c r="B55" t="s">
        <v>2749</v>
      </c>
      <c r="C55" s="49">
        <f>G25/G50</f>
        <v>0.14862178312747598</v>
      </c>
    </row>
    <row r="56" spans="2:8" ht="15" customHeight="1" x14ac:dyDescent="0.35">
      <c r="B56" t="s">
        <v>2750</v>
      </c>
      <c r="C56" s="49">
        <f>G31/G50</f>
        <v>9.4183425444040649E-3</v>
      </c>
    </row>
    <row r="57" spans="2:8" ht="15" customHeight="1" x14ac:dyDescent="0.35">
      <c r="B57" t="s">
        <v>2556</v>
      </c>
      <c r="C57" s="49">
        <f>G37/G50</f>
        <v>0.1426168625970729</v>
      </c>
    </row>
    <row r="58" spans="2:8" ht="15" customHeight="1" x14ac:dyDescent="0.35">
      <c r="B58" t="s">
        <v>2751</v>
      </c>
      <c r="C58" s="49">
        <f>G42/G50</f>
        <v>7.1779004432945784E-2</v>
      </c>
    </row>
    <row r="59" spans="2:8" ht="15" customHeight="1" x14ac:dyDescent="0.35">
      <c r="B59" t="s">
        <v>2752</v>
      </c>
      <c r="C59" s="49">
        <f>G45/G50</f>
        <v>5.6296129972528775E-3</v>
      </c>
    </row>
    <row r="60" spans="2:8" ht="15" customHeight="1" x14ac:dyDescent="0.35">
      <c r="B60" t="s">
        <v>2753</v>
      </c>
      <c r="C60" s="49">
        <f>G48/G50</f>
        <v>5.3168567196277177E-3</v>
      </c>
    </row>
  </sheetData>
  <mergeCells count="10">
    <mergeCell ref="B33:H33"/>
    <mergeCell ref="B39:H39"/>
    <mergeCell ref="B44:H44"/>
    <mergeCell ref="B47:H47"/>
    <mergeCell ref="B52:H52"/>
    <mergeCell ref="B1:G1"/>
    <mergeCell ref="B5:H5"/>
    <mergeCell ref="B13:H13"/>
    <mergeCell ref="B21:H21"/>
    <mergeCell ref="B27:H27"/>
  </mergeCells>
  <pageMargins left="0.75" right="0.75" top="1" bottom="1" header="0.511811023622047" footer="0.511811023622047"/>
  <pageSetup paperSize="9" orientation="portrait" horizontalDpi="300" verticalDpi="300"/>
  <legacy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79"/>
  </sheetPr>
  <dimension ref="B1:F35"/>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ColWidth="8.54296875" defaultRowHeight="14.5" x14ac:dyDescent="0.35"/>
  <cols>
    <col min="1" max="1" width="3" customWidth="1"/>
    <col min="2" max="2" width="30" customWidth="1"/>
    <col min="3" max="5" width="16" customWidth="1"/>
    <col min="6" max="6" width="18" customWidth="1"/>
  </cols>
  <sheetData>
    <row r="1" spans="2:6" ht="30" customHeight="1" x14ac:dyDescent="0.35">
      <c r="B1" s="487" t="s">
        <v>2754</v>
      </c>
      <c r="C1" s="487"/>
      <c r="D1" s="487"/>
      <c r="E1" s="487"/>
      <c r="F1" s="487"/>
    </row>
    <row r="3" spans="2:6" ht="15" customHeight="1" x14ac:dyDescent="0.35">
      <c r="B3" t="s">
        <v>2755</v>
      </c>
      <c r="C3" s="27" t="str">
        <f>Scenario</f>
        <v>Base</v>
      </c>
    </row>
    <row r="5" spans="2:6" ht="15" customHeight="1" x14ac:dyDescent="0.35">
      <c r="B5" s="15" t="s">
        <v>1468</v>
      </c>
      <c r="C5" s="15" t="s">
        <v>1374</v>
      </c>
      <c r="D5" s="15" t="s">
        <v>1366</v>
      </c>
      <c r="E5" s="15" t="s">
        <v>1375</v>
      </c>
      <c r="F5" s="15" t="s">
        <v>1377</v>
      </c>
    </row>
    <row r="6" spans="2:6" ht="15" customHeight="1" x14ac:dyDescent="0.35">
      <c r="B6" t="s">
        <v>2756</v>
      </c>
      <c r="C6" s="53">
        <v>900000000</v>
      </c>
      <c r="D6" s="53">
        <v>800000000</v>
      </c>
      <c r="E6" s="53">
        <v>700000000</v>
      </c>
      <c r="F6" s="5" t="s">
        <v>1446</v>
      </c>
    </row>
    <row r="7" spans="2:6" ht="15" customHeight="1" x14ac:dyDescent="0.35">
      <c r="B7" t="s">
        <v>2757</v>
      </c>
      <c r="C7" s="25">
        <v>30</v>
      </c>
      <c r="D7" s="25">
        <v>50</v>
      </c>
      <c r="E7" s="25">
        <v>70</v>
      </c>
      <c r="F7" s="5" t="s">
        <v>2758</v>
      </c>
    </row>
    <row r="8" spans="2:6" ht="15" customHeight="1" x14ac:dyDescent="0.35">
      <c r="B8" t="s">
        <v>2759</v>
      </c>
      <c r="C8" s="23">
        <v>0.4</v>
      </c>
      <c r="D8" s="23">
        <v>0.6</v>
      </c>
      <c r="E8" s="23">
        <v>0.8</v>
      </c>
      <c r="F8" s="5" t="s">
        <v>1385</v>
      </c>
    </row>
    <row r="9" spans="2:6" ht="15" customHeight="1" x14ac:dyDescent="0.35">
      <c r="B9" t="s">
        <v>2760</v>
      </c>
      <c r="C9" s="37">
        <v>450000</v>
      </c>
      <c r="D9" s="37">
        <v>500000</v>
      </c>
      <c r="E9" s="37">
        <v>550000</v>
      </c>
      <c r="F9" s="5" t="s">
        <v>1450</v>
      </c>
    </row>
    <row r="10" spans="2:6" ht="15" customHeight="1" x14ac:dyDescent="0.35">
      <c r="B10" t="s">
        <v>2761</v>
      </c>
      <c r="C10" s="22">
        <f>C7*C8*C9</f>
        <v>5400000</v>
      </c>
      <c r="D10" s="22">
        <f>D7*D8*D9</f>
        <v>15000000</v>
      </c>
      <c r="E10" s="22">
        <f>E7*E8*E9</f>
        <v>30800000</v>
      </c>
      <c r="F10" s="5" t="s">
        <v>1450</v>
      </c>
    </row>
    <row r="11" spans="2:6" ht="15" customHeight="1" x14ac:dyDescent="0.35">
      <c r="B11" t="s">
        <v>2762</v>
      </c>
      <c r="C11" s="195">
        <v>3500000</v>
      </c>
      <c r="D11" s="195">
        <v>4500000</v>
      </c>
      <c r="E11" s="195">
        <v>6000000</v>
      </c>
      <c r="F11" s="5" t="s">
        <v>1450</v>
      </c>
    </row>
    <row r="12" spans="2:6" ht="15" customHeight="1" x14ac:dyDescent="0.35">
      <c r="B12" t="s">
        <v>2763</v>
      </c>
      <c r="C12" s="195">
        <v>6000000</v>
      </c>
      <c r="D12" s="195">
        <v>7500000</v>
      </c>
      <c r="E12" s="195">
        <v>9000000</v>
      </c>
      <c r="F12" s="5" t="s">
        <v>1450</v>
      </c>
    </row>
    <row r="13" spans="2:6" ht="15" customHeight="1" x14ac:dyDescent="0.35">
      <c r="B13" t="s">
        <v>2764</v>
      </c>
      <c r="C13" s="195">
        <v>1500000</v>
      </c>
      <c r="D13" s="195">
        <v>1800000</v>
      </c>
      <c r="E13" s="195">
        <v>2200000</v>
      </c>
      <c r="F13" s="5" t="s">
        <v>1450</v>
      </c>
    </row>
    <row r="14" spans="2:6" ht="15" customHeight="1" x14ac:dyDescent="0.35">
      <c r="B14" t="s">
        <v>2765</v>
      </c>
      <c r="C14" s="195">
        <v>8000000</v>
      </c>
      <c r="D14" s="195">
        <v>9000000</v>
      </c>
      <c r="E14" s="195">
        <v>10000000</v>
      </c>
      <c r="F14" s="5" t="s">
        <v>1450</v>
      </c>
    </row>
    <row r="15" spans="2:6" ht="15" customHeight="1" x14ac:dyDescent="0.35">
      <c r="B15" t="s">
        <v>2766</v>
      </c>
      <c r="C15" s="50">
        <f>SUM(C11:C14)</f>
        <v>19000000</v>
      </c>
      <c r="D15" s="50">
        <f>SUM(D11:D14)</f>
        <v>22800000</v>
      </c>
      <c r="E15" s="50">
        <f>SUM(E11:E14)</f>
        <v>27200000</v>
      </c>
      <c r="F15" s="5" t="s">
        <v>1450</v>
      </c>
    </row>
    <row r="16" spans="2:6" ht="15" customHeight="1" x14ac:dyDescent="0.35">
      <c r="B16" t="s">
        <v>2767</v>
      </c>
      <c r="C16" s="58">
        <f>C10-C15</f>
        <v>-13600000</v>
      </c>
      <c r="D16" s="58">
        <f>D10-D15</f>
        <v>-7800000</v>
      </c>
      <c r="E16" s="58">
        <f>E10-E15</f>
        <v>3600000</v>
      </c>
      <c r="F16" s="5" t="s">
        <v>1450</v>
      </c>
    </row>
    <row r="17" spans="2:6" ht="15" customHeight="1" x14ac:dyDescent="0.35">
      <c r="B17" t="s">
        <v>2768</v>
      </c>
      <c r="C17" s="59">
        <f>C16*12</f>
        <v>-163200000</v>
      </c>
      <c r="D17" s="59">
        <f>D16*12</f>
        <v>-93600000</v>
      </c>
      <c r="E17" s="59">
        <f>E16*12</f>
        <v>43200000</v>
      </c>
      <c r="F17" s="5" t="s">
        <v>1450</v>
      </c>
    </row>
    <row r="18" spans="2:6" ht="15" customHeight="1" x14ac:dyDescent="0.35">
      <c r="B18" t="s">
        <v>20</v>
      </c>
      <c r="C18" s="39">
        <f>IFERROR(C16/C10,0)</f>
        <v>-2.5185185185185186</v>
      </c>
      <c r="D18" s="39">
        <f>IFERROR(D16/D10,0)</f>
        <v>-0.52</v>
      </c>
      <c r="E18" s="39">
        <f>IFERROR(E16/E10,0)</f>
        <v>0.11688311688311688</v>
      </c>
      <c r="F18" s="5" t="s">
        <v>1385</v>
      </c>
    </row>
    <row r="19" spans="2:6" ht="15" customHeight="1" x14ac:dyDescent="0.35">
      <c r="B19" t="s">
        <v>2769</v>
      </c>
      <c r="C19" s="49">
        <f>IFERROR(C6/C16,99)</f>
        <v>-66.17647058823529</v>
      </c>
      <c r="D19" s="49">
        <f>IFERROR(D6/D16,99)</f>
        <v>-102.56410256410257</v>
      </c>
      <c r="E19" s="49">
        <f>IFERROR(E6/E16,99)</f>
        <v>194.44444444444446</v>
      </c>
      <c r="F19" s="5" t="s">
        <v>2770</v>
      </c>
    </row>
    <row r="20" spans="2:6" ht="15" customHeight="1" x14ac:dyDescent="0.35">
      <c r="B20" t="s">
        <v>2771</v>
      </c>
      <c r="C20" s="60">
        <f>IFERROR(RATE(10,-C17,C6),0)</f>
        <v>0</v>
      </c>
      <c r="D20" s="60">
        <f>IFERROR(RATE(10,-D17,D6),0)</f>
        <v>0</v>
      </c>
      <c r="E20" s="60">
        <f>IFERROR(RATE(10,-E17,E6),0)</f>
        <v>-7.9335926435506007E-2</v>
      </c>
      <c r="F20" s="5" t="s">
        <v>1385</v>
      </c>
    </row>
    <row r="21" spans="2:6" ht="15" customHeight="1" x14ac:dyDescent="0.35">
      <c r="B21" t="s">
        <v>2772</v>
      </c>
      <c r="C21" s="49">
        <f>IFERROR(C15/(C7*C9),1)</f>
        <v>1.4074074074074074</v>
      </c>
      <c r="D21" s="49">
        <f>IFERROR(D15/(D7*D9),1)</f>
        <v>0.91200000000000003</v>
      </c>
      <c r="E21" s="49">
        <f>IFERROR(E15/(E7*E9),1)</f>
        <v>0.70649350649350651</v>
      </c>
      <c r="F21" s="5" t="s">
        <v>1385</v>
      </c>
    </row>
    <row r="23" spans="2:6" ht="15" customHeight="1" x14ac:dyDescent="0.35">
      <c r="B23" s="485" t="s">
        <v>2773</v>
      </c>
      <c r="C23" s="485"/>
      <c r="D23" s="485"/>
      <c r="E23" s="485"/>
      <c r="F23" s="485"/>
    </row>
    <row r="24" spans="2:6" ht="15" customHeight="1" x14ac:dyDescent="0.35">
      <c r="B24" s="1" t="s">
        <v>2774</v>
      </c>
      <c r="C24" s="61">
        <f>CHOOSE(ScenIdx,C6,D6,E6)</f>
        <v>800000000</v>
      </c>
    </row>
    <row r="25" spans="2:6" ht="15" customHeight="1" x14ac:dyDescent="0.35">
      <c r="B25" s="1" t="s">
        <v>2767</v>
      </c>
      <c r="C25" s="62">
        <f>CHOOSE(ScenIdx,C16,D16,E16)</f>
        <v>-7800000</v>
      </c>
    </row>
    <row r="26" spans="2:6" ht="15" customHeight="1" x14ac:dyDescent="0.35">
      <c r="B26" s="1" t="s">
        <v>2768</v>
      </c>
      <c r="C26" s="61">
        <f>CHOOSE(ScenIdx,C17,D17,E17)</f>
        <v>-93600000</v>
      </c>
    </row>
    <row r="27" spans="2:6" ht="15" customHeight="1" x14ac:dyDescent="0.35">
      <c r="B27" s="1" t="s">
        <v>2775</v>
      </c>
      <c r="C27" s="63">
        <f>CHOOSE(ScenIdx,C19,D19,E19)</f>
        <v>-102.56410256410257</v>
      </c>
    </row>
    <row r="28" spans="2:6" ht="15" customHeight="1" x14ac:dyDescent="0.35">
      <c r="B28" s="1" t="s">
        <v>2776</v>
      </c>
      <c r="C28" s="64">
        <f>CHOOSE(ScenIdx,C20,D20,E20)</f>
        <v>0</v>
      </c>
    </row>
    <row r="29" spans="2:6" ht="15" customHeight="1" x14ac:dyDescent="0.35">
      <c r="B29" s="1" t="s">
        <v>2777</v>
      </c>
      <c r="C29" s="64">
        <f>CHOOSE(ScenIdx,C21,D21,E21)</f>
        <v>0.91200000000000003</v>
      </c>
    </row>
    <row r="31" spans="2:6" x14ac:dyDescent="0.35">
      <c r="B31" s="382" t="s">
        <v>4828</v>
      </c>
    </row>
    <row r="32" spans="2:6" x14ac:dyDescent="0.35">
      <c r="B32" s="1" t="s">
        <v>4829</v>
      </c>
      <c r="C32">
        <f>CHOOSE(ScenIdx,C15,D15,E15)/(CHOOSE(ScenIdx,C7,D7,E7)*CHOOSE(ScenIdx,C8,D8,E8))</f>
        <v>760000</v>
      </c>
      <c r="F32" t="s">
        <v>4830</v>
      </c>
    </row>
    <row r="33" spans="2:6" x14ac:dyDescent="0.35">
      <c r="B33" s="1" t="s">
        <v>4831</v>
      </c>
      <c r="C33" s="191">
        <f>IFERROR(C32/CHOOSE(ScenIdx,C9,D9,E9)-1,"N/A")</f>
        <v>0.52</v>
      </c>
      <c r="F33" t="s">
        <v>4832</v>
      </c>
    </row>
    <row r="34" spans="2:6" x14ac:dyDescent="0.35">
      <c r="B34" s="1" t="s">
        <v>4833</v>
      </c>
      <c r="C34">
        <f>IFERROR(CHOOSE(ScenIdx,C15,D15,E15)/CHOOSE(ScenIdx,C9,D9,E9),"N/A")</f>
        <v>45.6</v>
      </c>
      <c r="F34" t="s">
        <v>4834</v>
      </c>
    </row>
    <row r="35" spans="2:6" x14ac:dyDescent="0.35">
      <c r="B35" s="1" t="s">
        <v>4835</v>
      </c>
      <c r="C35" s="191">
        <f>IFERROR(C34/CHOOSE(ScenIdx,C7,D7,E7),"N/A")</f>
        <v>0.91200000000000003</v>
      </c>
      <c r="F35" s="342" t="s">
        <v>4836</v>
      </c>
    </row>
  </sheetData>
  <mergeCells count="2">
    <mergeCell ref="B1:F1"/>
    <mergeCell ref="B23:F23"/>
  </mergeCells>
  <pageMargins left="0.75" right="0.75" top="1" bottom="1" header="0.511811023622047" footer="0.511811023622047"/>
  <pageSetup paperSize="9" orientation="portrait" horizontalDpi="300" verticalDpi="300"/>
  <legacy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79"/>
  </sheetPr>
  <dimension ref="B1:F28"/>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ColWidth="8.54296875" defaultRowHeight="14.5" x14ac:dyDescent="0.35"/>
  <cols>
    <col min="1" max="1" width="3" customWidth="1"/>
    <col min="2" max="2" width="30" customWidth="1"/>
    <col min="3" max="5" width="16" customWidth="1"/>
    <col min="6" max="6" width="18" customWidth="1"/>
  </cols>
  <sheetData>
    <row r="1" spans="2:6" ht="30" customHeight="1" x14ac:dyDescent="0.35">
      <c r="B1" s="487" t="s">
        <v>2778</v>
      </c>
      <c r="C1" s="487"/>
      <c r="D1" s="487"/>
      <c r="E1" s="487"/>
      <c r="F1" s="487"/>
    </row>
    <row r="3" spans="2:6" ht="15" customHeight="1" x14ac:dyDescent="0.35">
      <c r="B3" t="s">
        <v>2755</v>
      </c>
      <c r="C3" s="27" t="str">
        <f>Scenario</f>
        <v>Base</v>
      </c>
    </row>
    <row r="5" spans="2:6" ht="15" customHeight="1" x14ac:dyDescent="0.35">
      <c r="B5" s="15" t="s">
        <v>1468</v>
      </c>
      <c r="C5" s="15" t="s">
        <v>1374</v>
      </c>
      <c r="D5" s="15" t="s">
        <v>1366</v>
      </c>
      <c r="E5" s="15" t="s">
        <v>1375</v>
      </c>
      <c r="F5" s="15" t="s">
        <v>1377</v>
      </c>
    </row>
    <row r="6" spans="2:6" ht="15" customHeight="1" x14ac:dyDescent="0.35">
      <c r="B6" t="s">
        <v>2779</v>
      </c>
      <c r="C6" s="53">
        <v>320000000</v>
      </c>
      <c r="D6" s="53">
        <v>280000000</v>
      </c>
      <c r="E6" s="53">
        <v>240000000</v>
      </c>
      <c r="F6" s="5" t="s">
        <v>1434</v>
      </c>
    </row>
    <row r="7" spans="2:6" ht="15" customHeight="1" x14ac:dyDescent="0.35">
      <c r="B7" t="s">
        <v>2780</v>
      </c>
      <c r="C7" s="25">
        <v>140</v>
      </c>
      <c r="D7" s="25">
        <v>160</v>
      </c>
      <c r="E7" s="25">
        <v>180</v>
      </c>
      <c r="F7" s="5" t="s">
        <v>2781</v>
      </c>
    </row>
    <row r="8" spans="2:6" ht="15" customHeight="1" x14ac:dyDescent="0.35">
      <c r="B8" t="s">
        <v>2782</v>
      </c>
      <c r="C8" s="37">
        <v>120000</v>
      </c>
      <c r="D8" s="37">
        <v>150000</v>
      </c>
      <c r="E8" s="37">
        <v>180000</v>
      </c>
      <c r="F8" s="5" t="s">
        <v>1450</v>
      </c>
    </row>
    <row r="9" spans="2:6" ht="15" customHeight="1" x14ac:dyDescent="0.35">
      <c r="B9" t="s">
        <v>2783</v>
      </c>
      <c r="C9" s="23">
        <v>0.95</v>
      </c>
      <c r="D9" s="23">
        <v>0.98</v>
      </c>
      <c r="E9" s="23">
        <v>0.995</v>
      </c>
      <c r="F9" s="5" t="s">
        <v>1385</v>
      </c>
    </row>
    <row r="10" spans="2:6" ht="15" customHeight="1" x14ac:dyDescent="0.35">
      <c r="B10" t="s">
        <v>2784</v>
      </c>
      <c r="C10" s="50">
        <f>C7*C8*C9</f>
        <v>15960000</v>
      </c>
      <c r="D10" s="50">
        <f>D7*D8*D9</f>
        <v>23520000</v>
      </c>
      <c r="E10" s="50">
        <f>E7*E8*E9</f>
        <v>32238000</v>
      </c>
      <c r="F10" s="5" t="s">
        <v>1450</v>
      </c>
    </row>
    <row r="11" spans="2:6" ht="15" customHeight="1" x14ac:dyDescent="0.35">
      <c r="B11" t="s">
        <v>2785</v>
      </c>
      <c r="C11" s="37">
        <v>5000000</v>
      </c>
      <c r="D11" s="37">
        <v>4000000</v>
      </c>
      <c r="E11" s="37">
        <v>3000000</v>
      </c>
      <c r="F11" s="5" t="s">
        <v>1450</v>
      </c>
    </row>
    <row r="12" spans="2:6" ht="15" customHeight="1" x14ac:dyDescent="0.35">
      <c r="B12" t="s">
        <v>2786</v>
      </c>
      <c r="C12" s="37">
        <v>-1500000</v>
      </c>
      <c r="D12" s="37">
        <v>-2000000</v>
      </c>
      <c r="E12" s="37">
        <v>-2500000</v>
      </c>
      <c r="F12" s="5" t="s">
        <v>1450</v>
      </c>
    </row>
    <row r="13" spans="2:6" ht="15" customHeight="1" x14ac:dyDescent="0.35">
      <c r="B13" t="s">
        <v>2787</v>
      </c>
      <c r="C13" s="37">
        <v>2000000</v>
      </c>
      <c r="D13" s="37">
        <v>1500000</v>
      </c>
      <c r="E13" s="37">
        <v>1000000</v>
      </c>
      <c r="F13" s="5" t="s">
        <v>1450</v>
      </c>
    </row>
    <row r="14" spans="2:6" ht="15" customHeight="1" x14ac:dyDescent="0.35">
      <c r="B14" t="s">
        <v>2788</v>
      </c>
      <c r="C14" s="37">
        <v>1500000</v>
      </c>
      <c r="D14" s="37">
        <v>2500000</v>
      </c>
      <c r="E14" s="37">
        <v>4000000</v>
      </c>
      <c r="F14" s="5" t="s">
        <v>1450</v>
      </c>
    </row>
    <row r="15" spans="2:6" ht="15" customHeight="1" x14ac:dyDescent="0.35">
      <c r="B15" t="s">
        <v>2789</v>
      </c>
      <c r="C15" s="50">
        <f>C11+C13</f>
        <v>7000000</v>
      </c>
      <c r="D15" s="50">
        <f>D11+D13</f>
        <v>5500000</v>
      </c>
      <c r="E15" s="50">
        <f>E11+E13</f>
        <v>4000000</v>
      </c>
      <c r="F15" s="5" t="s">
        <v>1450</v>
      </c>
    </row>
    <row r="16" spans="2:6" ht="15" customHeight="1" x14ac:dyDescent="0.35">
      <c r="B16" t="s">
        <v>2790</v>
      </c>
      <c r="C16" s="58">
        <f>C10+C14-C15+(-C12)</f>
        <v>11960000</v>
      </c>
      <c r="D16" s="58">
        <f>D10+D14-D15+(-D12)</f>
        <v>22520000</v>
      </c>
      <c r="E16" s="58">
        <f>E10+E14-E15+(-E12)</f>
        <v>34738000</v>
      </c>
      <c r="F16" s="5" t="s">
        <v>1450</v>
      </c>
    </row>
    <row r="17" spans="2:6" ht="15" customHeight="1" x14ac:dyDescent="0.35">
      <c r="B17" t="s">
        <v>2768</v>
      </c>
      <c r="C17" s="39">
        <f>C16*12</f>
        <v>143520000</v>
      </c>
      <c r="D17" s="39">
        <f>D16*12</f>
        <v>270240000</v>
      </c>
      <c r="E17" s="39">
        <f>E16*12</f>
        <v>416856000</v>
      </c>
      <c r="F17" s="5" t="s">
        <v>1450</v>
      </c>
    </row>
    <row r="18" spans="2:6" ht="15" customHeight="1" x14ac:dyDescent="0.35">
      <c r="B18" t="s">
        <v>20</v>
      </c>
      <c r="C18" s="49">
        <f>IFERROR(C16/C10,0)</f>
        <v>0.74937343358395991</v>
      </c>
      <c r="D18" s="49">
        <f>IFERROR(D16/D10,0)</f>
        <v>0.95748299319727892</v>
      </c>
      <c r="E18" s="49">
        <f>IFERROR(E16/E10,0)</f>
        <v>1.0775482350021715</v>
      </c>
      <c r="F18" s="5" t="s">
        <v>1385</v>
      </c>
    </row>
    <row r="19" spans="2:6" ht="15" customHeight="1" x14ac:dyDescent="0.35">
      <c r="B19" t="s">
        <v>2775</v>
      </c>
      <c r="C19" s="60">
        <f>IFERROR(C6/C16,99)</f>
        <v>26.755852842809364</v>
      </c>
      <c r="D19" s="60">
        <f>IFERROR(D6/D16,99)</f>
        <v>12.433392539964476</v>
      </c>
      <c r="E19" s="60">
        <f>IFERROR(E6/E16,99)</f>
        <v>6.9088606137371178</v>
      </c>
      <c r="F19" s="5" t="s">
        <v>2791</v>
      </c>
    </row>
    <row r="20" spans="2:6" ht="15" customHeight="1" x14ac:dyDescent="0.35">
      <c r="B20" t="s">
        <v>2792</v>
      </c>
      <c r="C20" s="49">
        <f>IFERROR(RATE(15,-C17,C6),0)</f>
        <v>0</v>
      </c>
      <c r="D20" s="49">
        <f>IFERROR(RATE(15,-D17,D6),0)</f>
        <v>0</v>
      </c>
      <c r="E20" s="49">
        <f>IFERROR(RATE(15,-E17,E6),0)</f>
        <v>0</v>
      </c>
      <c r="F20" s="5" t="s">
        <v>1385</v>
      </c>
    </row>
    <row r="21" spans="2:6" ht="15" customHeight="1" x14ac:dyDescent="0.35">
      <c r="B21" t="s">
        <v>2793</v>
      </c>
      <c r="C21" s="50">
        <f>IFERROR((C6/15+C15*12)/(C7*1.5*365*C9),0)</f>
        <v>1446.5387212323044</v>
      </c>
      <c r="D21" s="50">
        <f>IFERROR((D6/15+D15*12)/(D7*1.5*365*D9),0)</f>
        <v>986.23924455627002</v>
      </c>
      <c r="E21" s="50">
        <f>IFERROR((E6/15+E15*12)/(E7*1.5*365*E9),0)</f>
        <v>652.67993952512438</v>
      </c>
      <c r="F21" s="5" t="s">
        <v>1400</v>
      </c>
    </row>
    <row r="23" spans="2:6" ht="15" customHeight="1" x14ac:dyDescent="0.35">
      <c r="B23" s="485" t="s">
        <v>2773</v>
      </c>
      <c r="C23" s="485"/>
      <c r="D23" s="485"/>
      <c r="E23" s="485"/>
      <c r="F23" s="485"/>
    </row>
    <row r="24" spans="2:6" ht="15" customHeight="1" x14ac:dyDescent="0.35">
      <c r="B24" s="1" t="s">
        <v>2756</v>
      </c>
      <c r="C24" s="61">
        <f>CHOOSE(ScenIdx,C6,D6,E6)</f>
        <v>280000000</v>
      </c>
    </row>
    <row r="25" spans="2:6" ht="15" customHeight="1" x14ac:dyDescent="0.35">
      <c r="B25" s="1" t="s">
        <v>2768</v>
      </c>
      <c r="C25" s="61">
        <f>CHOOSE(ScenIdx,C17,D17,E17)</f>
        <v>270240000</v>
      </c>
    </row>
    <row r="26" spans="2:6" ht="15" customHeight="1" x14ac:dyDescent="0.35">
      <c r="B26" s="1" t="s">
        <v>2794</v>
      </c>
      <c r="C26" s="63">
        <f>CHOOSE(ScenIdx,C19,D19,E19)</f>
        <v>12.433392539964476</v>
      </c>
    </row>
    <row r="27" spans="2:6" ht="15" customHeight="1" x14ac:dyDescent="0.35">
      <c r="B27" s="1" t="s">
        <v>2795</v>
      </c>
      <c r="C27" s="64">
        <f>CHOOSE(ScenIdx,C20,D20,E20)</f>
        <v>0</v>
      </c>
    </row>
    <row r="28" spans="2:6" ht="15" customHeight="1" x14ac:dyDescent="0.35">
      <c r="B28" s="1" t="s">
        <v>2793</v>
      </c>
      <c r="C28" s="62">
        <f>CHOOSE(ScenIdx,C21,D21,E21)</f>
        <v>986.23924455627002</v>
      </c>
    </row>
  </sheetData>
  <mergeCells count="2">
    <mergeCell ref="B1:F1"/>
    <mergeCell ref="B23:F23"/>
  </mergeCells>
  <pageMargins left="0.75" right="0.75" top="1" bottom="1"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98754"/>
  </sheetPr>
  <dimension ref="B1:L19"/>
  <sheetViews>
    <sheetView zoomScaleNormal="100" workbookViewId="0">
      <selection activeCell="E22" sqref="E22"/>
    </sheetView>
  </sheetViews>
  <sheetFormatPr defaultColWidth="8.54296875" defaultRowHeight="14.5" x14ac:dyDescent="0.35"/>
  <cols>
    <col min="1" max="1" width="3" customWidth="1"/>
    <col min="2" max="2" width="26" customWidth="1"/>
    <col min="3" max="6" width="14" customWidth="1"/>
    <col min="7" max="9" width="16" customWidth="1"/>
  </cols>
  <sheetData>
    <row r="1" spans="2:12" ht="30" customHeight="1" x14ac:dyDescent="0.35">
      <c r="B1" s="487" t="s">
        <v>2796</v>
      </c>
      <c r="C1" s="487"/>
      <c r="D1" s="487"/>
      <c r="E1" s="487"/>
      <c r="F1" s="487"/>
      <c r="G1" s="487"/>
      <c r="H1" s="487"/>
      <c r="I1" s="487"/>
    </row>
    <row r="3" spans="2:12" ht="15" customHeight="1" x14ac:dyDescent="0.35">
      <c r="B3" s="15" t="s">
        <v>820</v>
      </c>
      <c r="C3" s="15" t="s">
        <v>2797</v>
      </c>
      <c r="D3" s="15" t="s">
        <v>2798</v>
      </c>
      <c r="E3" s="15" t="s">
        <v>1794</v>
      </c>
      <c r="F3" s="15" t="s">
        <v>2799</v>
      </c>
      <c r="G3" s="15" t="s">
        <v>2800</v>
      </c>
      <c r="H3" s="15" t="s">
        <v>1471</v>
      </c>
      <c r="I3" s="15" t="s">
        <v>2801</v>
      </c>
      <c r="J3" s="15" t="s">
        <v>1469</v>
      </c>
    </row>
    <row r="4" spans="2:12" ht="15" customHeight="1" x14ac:dyDescent="0.35">
      <c r="B4" s="27" t="s">
        <v>2802</v>
      </c>
      <c r="C4" s="1" t="s">
        <v>2803</v>
      </c>
      <c r="D4" t="s">
        <v>2804</v>
      </c>
      <c r="E4" s="37">
        <v>0</v>
      </c>
      <c r="F4" s="37">
        <v>3500000</v>
      </c>
      <c r="G4" s="50">
        <f t="shared" ref="G4:G9" si="0">E4-F4</f>
        <v>-3500000</v>
      </c>
      <c r="H4" s="50">
        <f>G4</f>
        <v>-3500000</v>
      </c>
      <c r="J4" s="5" t="s">
        <v>2805</v>
      </c>
    </row>
    <row r="5" spans="2:12" ht="15" customHeight="1" x14ac:dyDescent="0.35">
      <c r="B5" s="27" t="s">
        <v>2806</v>
      </c>
      <c r="C5" s="1" t="s">
        <v>2807</v>
      </c>
      <c r="D5" t="s">
        <v>2808</v>
      </c>
      <c r="E5" s="37">
        <v>12000000</v>
      </c>
      <c r="F5" s="37">
        <v>4000000</v>
      </c>
      <c r="G5" s="50">
        <f t="shared" si="0"/>
        <v>8000000</v>
      </c>
      <c r="H5" s="50">
        <f>H4+G5</f>
        <v>4500000</v>
      </c>
      <c r="I5" s="49">
        <f>G5/F4</f>
        <v>2.2857142857142856</v>
      </c>
      <c r="J5" s="5" t="s">
        <v>2809</v>
      </c>
    </row>
    <row r="6" spans="2:12" ht="15" customHeight="1" x14ac:dyDescent="0.35">
      <c r="B6" s="27" t="s">
        <v>2810</v>
      </c>
      <c r="C6" s="1" t="s">
        <v>2811</v>
      </c>
      <c r="D6" t="s">
        <v>14</v>
      </c>
      <c r="E6" s="37">
        <v>0</v>
      </c>
      <c r="F6" s="37">
        <v>500000</v>
      </c>
      <c r="G6" s="50">
        <f t="shared" si="0"/>
        <v>-500000</v>
      </c>
      <c r="H6" s="50">
        <f>H5+G6</f>
        <v>4000000</v>
      </c>
      <c r="J6" s="5" t="s">
        <v>2812</v>
      </c>
    </row>
    <row r="7" spans="2:12" ht="15" customHeight="1" x14ac:dyDescent="0.35">
      <c r="B7" s="27" t="s">
        <v>2813</v>
      </c>
      <c r="C7" s="1" t="s">
        <v>2814</v>
      </c>
      <c r="D7" t="s">
        <v>2815</v>
      </c>
      <c r="E7" s="37">
        <v>18000000</v>
      </c>
      <c r="F7" s="37">
        <v>5000000</v>
      </c>
      <c r="G7" s="50">
        <f t="shared" si="0"/>
        <v>13000000</v>
      </c>
      <c r="H7" s="50">
        <f>H6+G7</f>
        <v>17000000</v>
      </c>
      <c r="I7" s="49">
        <f>G7/F4</f>
        <v>3.7142857142857144</v>
      </c>
      <c r="J7" s="5" t="s">
        <v>2816</v>
      </c>
    </row>
    <row r="8" spans="2:12" ht="15" customHeight="1" x14ac:dyDescent="0.35">
      <c r="B8" s="27" t="s">
        <v>2817</v>
      </c>
      <c r="C8" s="1" t="s">
        <v>2818</v>
      </c>
      <c r="D8" t="s">
        <v>2819</v>
      </c>
      <c r="E8" s="37">
        <v>1500000</v>
      </c>
      <c r="F8" s="37">
        <v>500000</v>
      </c>
      <c r="G8" s="50">
        <f t="shared" si="0"/>
        <v>1000000</v>
      </c>
      <c r="H8" s="50">
        <f>H7+G8</f>
        <v>18000000</v>
      </c>
      <c r="J8" s="5" t="s">
        <v>2820</v>
      </c>
    </row>
    <row r="9" spans="2:12" ht="15" customHeight="1" x14ac:dyDescent="0.35">
      <c r="B9" s="27" t="s">
        <v>2821</v>
      </c>
      <c r="C9" s="1" t="s">
        <v>2822</v>
      </c>
      <c r="D9" t="s">
        <v>2823</v>
      </c>
      <c r="E9" s="37">
        <v>1000000</v>
      </c>
      <c r="F9" s="37">
        <v>0</v>
      </c>
      <c r="G9" s="50">
        <f t="shared" si="0"/>
        <v>1000000</v>
      </c>
      <c r="H9" s="50">
        <f>H8+G9</f>
        <v>19000000</v>
      </c>
      <c r="J9" s="5" t="s">
        <v>2824</v>
      </c>
    </row>
    <row r="10" spans="2:12" ht="15" customHeight="1" x14ac:dyDescent="0.35">
      <c r="B10" s="1" t="s">
        <v>2825</v>
      </c>
      <c r="C10" s="1" t="s">
        <v>2826</v>
      </c>
      <c r="E10" s="65">
        <f>SUM(E4:E9)</f>
        <v>32500000</v>
      </c>
      <c r="F10" s="65">
        <f>SUM(F4:F9)</f>
        <v>13500000</v>
      </c>
      <c r="G10" s="65">
        <f>SUM(G4:G9)</f>
        <v>19000000</v>
      </c>
      <c r="H10" s="65">
        <f>H9</f>
        <v>19000000</v>
      </c>
      <c r="I10" s="66">
        <f>H10/F4</f>
        <v>5.4285714285714288</v>
      </c>
      <c r="J10" s="67" t="s">
        <v>2827</v>
      </c>
    </row>
    <row r="12" spans="2:12" ht="15" customHeight="1" x14ac:dyDescent="0.35">
      <c r="B12" s="485" t="s">
        <v>2828</v>
      </c>
      <c r="C12" s="485"/>
      <c r="D12" s="485"/>
      <c r="E12" s="485"/>
      <c r="F12" s="485"/>
      <c r="G12" s="485"/>
      <c r="H12" s="485"/>
      <c r="I12" s="485"/>
    </row>
    <row r="13" spans="2:12" ht="15" customHeight="1" x14ac:dyDescent="0.35">
      <c r="B13" s="15" t="s">
        <v>2430</v>
      </c>
      <c r="C13" s="15" t="s">
        <v>2804</v>
      </c>
      <c r="D13" s="15" t="s">
        <v>12</v>
      </c>
      <c r="E13" s="15" t="s">
        <v>13</v>
      </c>
      <c r="F13" s="15" t="s">
        <v>14</v>
      </c>
      <c r="G13" s="15" t="s">
        <v>15</v>
      </c>
      <c r="H13" s="15" t="s">
        <v>16</v>
      </c>
      <c r="I13" s="15" t="s">
        <v>2829</v>
      </c>
      <c r="J13" s="15" t="s">
        <v>2830</v>
      </c>
      <c r="K13" s="15" t="s">
        <v>2831</v>
      </c>
      <c r="L13" s="15" t="s">
        <v>2819</v>
      </c>
    </row>
    <row r="14" spans="2:12" ht="15" customHeight="1" x14ac:dyDescent="0.35">
      <c r="B14" t="s">
        <v>2832</v>
      </c>
      <c r="C14" s="37">
        <v>-3500000</v>
      </c>
      <c r="D14" s="37">
        <f>$G$5/3</f>
        <v>2666666.6666666665</v>
      </c>
      <c r="E14" s="37">
        <f>$G$5/3</f>
        <v>2666666.6666666665</v>
      </c>
      <c r="F14" s="37">
        <f>$G$5/3+$G$6</f>
        <v>2166666.6666666665</v>
      </c>
      <c r="G14" s="37">
        <f>$G$7/5</f>
        <v>2600000</v>
      </c>
      <c r="H14" s="37">
        <f>$G$7/5</f>
        <v>2600000</v>
      </c>
      <c r="I14" s="37">
        <f>$G$7/5</f>
        <v>2600000</v>
      </c>
      <c r="J14" s="37">
        <f>$G$7/5</f>
        <v>2600000</v>
      </c>
      <c r="K14" s="37">
        <f>$G$7/5+$G$8</f>
        <v>3600000</v>
      </c>
      <c r="L14" s="37">
        <f>$G$9</f>
        <v>1000000</v>
      </c>
    </row>
    <row r="16" spans="2:12" ht="15" customHeight="1" x14ac:dyDescent="0.35">
      <c r="B16" s="1" t="s">
        <v>2833</v>
      </c>
      <c r="C16" s="62">
        <f>NPV(WACC,D14:L14)+C14</f>
        <v>9984588.6073826738</v>
      </c>
    </row>
    <row r="17" spans="2:3" ht="15" customHeight="1" x14ac:dyDescent="0.35">
      <c r="B17" s="1" t="s">
        <v>2834</v>
      </c>
      <c r="C17" s="64">
        <f>IRR(C14:L14)</f>
        <v>0.73305694947226652</v>
      </c>
    </row>
    <row r="19" spans="2:3" x14ac:dyDescent="0.35">
      <c r="B19" s="196" t="s">
        <v>2835</v>
      </c>
    </row>
  </sheetData>
  <mergeCells count="2">
    <mergeCell ref="B1:I1"/>
    <mergeCell ref="B12:I12"/>
  </mergeCells>
  <pageMargins left="0.75" right="0.75" top="1" bottom="1" header="0.511811023622047" footer="0.511811023622047"/>
  <pageSetup paperSize="9" orientation="portrait" horizontalDpi="300" verticalDpi="300"/>
  <legacy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98754"/>
  </sheetPr>
  <dimension ref="B1:H25"/>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ColWidth="8.54296875" defaultRowHeight="14.5" x14ac:dyDescent="0.35"/>
  <cols>
    <col min="1" max="1" width="3" customWidth="1"/>
    <col min="2" max="2" width="30" customWidth="1"/>
    <col min="3" max="7" width="16" customWidth="1"/>
    <col min="8" max="8" width="18" customWidth="1"/>
  </cols>
  <sheetData>
    <row r="1" spans="2:8" ht="30" customHeight="1" x14ac:dyDescent="0.35">
      <c r="B1" s="487" t="s">
        <v>2836</v>
      </c>
      <c r="C1" s="487"/>
      <c r="D1" s="487"/>
      <c r="E1" s="487"/>
      <c r="F1" s="487"/>
      <c r="G1" s="487"/>
      <c r="H1" s="487"/>
    </row>
    <row r="3" spans="2:8" ht="15" customHeight="1" x14ac:dyDescent="0.35">
      <c r="C3" s="11" t="s">
        <v>12</v>
      </c>
      <c r="D3" s="11" t="s">
        <v>13</v>
      </c>
      <c r="E3" s="11" t="s">
        <v>14</v>
      </c>
      <c r="F3" s="11" t="s">
        <v>15</v>
      </c>
      <c r="G3" s="11" t="s">
        <v>16</v>
      </c>
      <c r="H3" s="11" t="s">
        <v>1378</v>
      </c>
    </row>
    <row r="5" spans="2:8" ht="15" customHeight="1" x14ac:dyDescent="0.35">
      <c r="B5" s="550" t="s">
        <v>2837</v>
      </c>
      <c r="C5" s="550"/>
      <c r="D5" s="550"/>
      <c r="E5" s="550"/>
      <c r="F5" s="550"/>
      <c r="G5" s="550"/>
      <c r="H5" s="550"/>
    </row>
    <row r="6" spans="2:8" ht="15" customHeight="1" x14ac:dyDescent="0.35">
      <c r="B6" s="1" t="s">
        <v>1470</v>
      </c>
      <c r="C6" s="14">
        <f>INDEX(HubsRow,COLUMN()-2)</f>
        <v>2</v>
      </c>
      <c r="D6" s="14">
        <f>INDEX(HubsRow,COLUMN()-2)</f>
        <v>8</v>
      </c>
      <c r="E6" s="14">
        <f>INDEX(HubsRow,COLUMN()-2)</f>
        <v>25</v>
      </c>
      <c r="F6" s="14">
        <f>INDEX(HubsRow,COLUMN()-2)</f>
        <v>50</v>
      </c>
      <c r="G6" s="14">
        <f>INDEX(HubsRow,COLUMN()-2)</f>
        <v>80</v>
      </c>
      <c r="H6" s="5" t="s">
        <v>2838</v>
      </c>
    </row>
    <row r="7" spans="2:8" ht="15" customHeight="1" x14ac:dyDescent="0.35">
      <c r="B7" s="1" t="s">
        <v>1472</v>
      </c>
      <c r="C7" s="14">
        <f>INDEX(MicrogridsRow,COLUMN()-2)</f>
        <v>1</v>
      </c>
      <c r="D7" s="14">
        <f>INDEX(MicrogridsRow,COLUMN()-2)</f>
        <v>4</v>
      </c>
      <c r="E7" s="14">
        <f>INDEX(MicrogridsRow,COLUMN()-2)</f>
        <v>18</v>
      </c>
      <c r="F7" s="14">
        <f>INDEX(MicrogridsRow,COLUMN()-2)</f>
        <v>38</v>
      </c>
      <c r="G7" s="14">
        <f>INDEX(MicrogridsRow,COLUMN()-2)</f>
        <v>60</v>
      </c>
      <c r="H7" s="5" t="s">
        <v>2838</v>
      </c>
    </row>
    <row r="8" spans="2:8" ht="15" customHeight="1" x14ac:dyDescent="0.35">
      <c r="B8" s="1" t="s">
        <v>25</v>
      </c>
      <c r="C8" s="14">
        <f>'Revenue Model'!C8</f>
        <v>50</v>
      </c>
      <c r="D8" s="14">
        <f>'Revenue Model'!D8</f>
        <v>280</v>
      </c>
      <c r="E8" s="14">
        <f>'Revenue Model'!E8</f>
        <v>1125</v>
      </c>
      <c r="F8" s="14">
        <f>'Revenue Model'!F8</f>
        <v>2500</v>
      </c>
      <c r="G8" s="14">
        <f>'Revenue Model'!G8</f>
        <v>4400</v>
      </c>
      <c r="H8" s="5" t="s">
        <v>2839</v>
      </c>
    </row>
    <row r="9" spans="2:8" ht="15" customHeight="1" x14ac:dyDescent="0.35">
      <c r="B9" s="1" t="s">
        <v>26</v>
      </c>
      <c r="C9" s="14">
        <f>'Revenue Model'!C16</f>
        <v>160</v>
      </c>
      <c r="D9" s="14">
        <f>'Revenue Model'!D16</f>
        <v>640</v>
      </c>
      <c r="E9" s="14">
        <f>'Revenue Model'!E16</f>
        <v>2970</v>
      </c>
      <c r="F9" s="14">
        <f>'Revenue Model'!F16</f>
        <v>6460</v>
      </c>
      <c r="G9" s="14">
        <f>'Revenue Model'!G16</f>
        <v>10500</v>
      </c>
      <c r="H9" s="5" t="s">
        <v>2839</v>
      </c>
    </row>
    <row r="10" spans="2:8" ht="15" customHeight="1" x14ac:dyDescent="0.35">
      <c r="B10" s="1" t="s">
        <v>2840</v>
      </c>
      <c r="C10" s="14">
        <f>INDEX(BatteriesRow,COLUMN()-2)</f>
        <v>50</v>
      </c>
      <c r="D10" s="14">
        <f>INDEX(BatteriesRow,COLUMN()-2)</f>
        <v>250</v>
      </c>
      <c r="E10" s="14">
        <f>INDEX(BatteriesRow,COLUMN()-2)</f>
        <v>900</v>
      </c>
      <c r="F10" s="14">
        <f>INDEX(BatteriesRow,COLUMN()-2)</f>
        <v>2200</v>
      </c>
      <c r="G10" s="14">
        <f>INDEX(BatteriesRow,COLUMN()-2)</f>
        <v>4000</v>
      </c>
      <c r="H10" s="5" t="s">
        <v>2838</v>
      </c>
    </row>
    <row r="11" spans="2:8" ht="15" customHeight="1" x14ac:dyDescent="0.35">
      <c r="B11" s="1" t="s">
        <v>2841</v>
      </c>
      <c r="C11" s="14">
        <f>INDEX(OEMcustomers,COLUMN()-2)</f>
        <v>0</v>
      </c>
      <c r="D11" s="14">
        <f>INDEX(OEMcustomers,COLUMN()-2)</f>
        <v>1</v>
      </c>
      <c r="E11" s="14">
        <f>INDEX(OEMcustomers,COLUMN()-2)</f>
        <v>3</v>
      </c>
      <c r="F11" s="14">
        <f>INDEX(OEMcustomers,COLUMN()-2)</f>
        <v>6</v>
      </c>
      <c r="G11" s="14">
        <f>INDEX(OEMcustomers,COLUMN()-2)</f>
        <v>10</v>
      </c>
      <c r="H11" s="5" t="s">
        <v>2838</v>
      </c>
    </row>
    <row r="13" spans="2:8" ht="15" customHeight="1" x14ac:dyDescent="0.35">
      <c r="B13" s="550" t="s">
        <v>2842</v>
      </c>
      <c r="C13" s="550"/>
      <c r="D13" s="550"/>
      <c r="E13" s="550"/>
      <c r="F13" s="550"/>
      <c r="G13" s="550"/>
      <c r="H13" s="550"/>
    </row>
    <row r="14" spans="2:8" ht="15" customHeight="1" x14ac:dyDescent="0.35">
      <c r="B14" t="s">
        <v>2714</v>
      </c>
      <c r="C14" s="13">
        <f>'Revenue Model'!C9</f>
        <v>0.3</v>
      </c>
      <c r="D14" s="13">
        <f>'Revenue Model'!D9</f>
        <v>0.42</v>
      </c>
      <c r="E14" s="13">
        <f>'Revenue Model'!E9</f>
        <v>0.51</v>
      </c>
      <c r="F14" s="13">
        <f>'Revenue Model'!F9</f>
        <v>0.56999999999999995</v>
      </c>
      <c r="G14" s="13">
        <f>'Revenue Model'!G9</f>
        <v>0.6</v>
      </c>
    </row>
    <row r="15" spans="2:8" ht="15" customHeight="1" x14ac:dyDescent="0.35">
      <c r="B15" t="s">
        <v>2720</v>
      </c>
      <c r="C15" s="13">
        <f>MicrogridUptime</f>
        <v>0.98</v>
      </c>
      <c r="D15" s="13">
        <f>MicrogridUptime</f>
        <v>0.98</v>
      </c>
      <c r="E15" s="13">
        <f>MicrogridUptime</f>
        <v>0.98</v>
      </c>
      <c r="F15" s="13">
        <f>MicrogridUptime</f>
        <v>0.98</v>
      </c>
      <c r="G15" s="13">
        <f>MicrogridUptime</f>
        <v>0.98</v>
      </c>
    </row>
    <row r="16" spans="2:8" ht="15" customHeight="1" x14ac:dyDescent="0.35">
      <c r="B16" t="s">
        <v>2843</v>
      </c>
      <c r="C16" s="68">
        <v>1.5</v>
      </c>
      <c r="D16" s="68">
        <v>2</v>
      </c>
      <c r="E16" s="68">
        <v>2.5</v>
      </c>
      <c r="F16" s="68">
        <v>3.5</v>
      </c>
      <c r="G16" s="68">
        <v>4</v>
      </c>
    </row>
    <row r="17" spans="2:8" ht="15" customHeight="1" x14ac:dyDescent="0.35">
      <c r="B17" t="s">
        <v>2844</v>
      </c>
      <c r="C17" s="23">
        <v>0.92</v>
      </c>
      <c r="D17" s="23">
        <v>0.88</v>
      </c>
      <c r="E17" s="23">
        <v>0.84</v>
      </c>
      <c r="F17" s="23">
        <v>0.8</v>
      </c>
      <c r="G17" s="23">
        <v>0.78</v>
      </c>
    </row>
    <row r="18" spans="2:8" ht="15" customHeight="1" x14ac:dyDescent="0.35">
      <c r="B18" t="s">
        <v>2845</v>
      </c>
      <c r="C18" s="23">
        <v>0.95</v>
      </c>
      <c r="D18" s="23">
        <v>0.97</v>
      </c>
      <c r="E18" s="23">
        <v>0.98</v>
      </c>
      <c r="F18" s="23">
        <v>0.99</v>
      </c>
      <c r="G18" s="23">
        <v>0.995</v>
      </c>
    </row>
    <row r="20" spans="2:8" ht="15" customHeight="1" x14ac:dyDescent="0.35">
      <c r="B20" s="550" t="s">
        <v>2846</v>
      </c>
      <c r="C20" s="550"/>
      <c r="D20" s="550"/>
      <c r="E20" s="550"/>
      <c r="F20" s="550"/>
      <c r="G20" s="550"/>
      <c r="H20" s="550"/>
    </row>
    <row r="21" spans="2:8" ht="15" customHeight="1" x14ac:dyDescent="0.35">
      <c r="B21" s="1" t="s">
        <v>1142</v>
      </c>
      <c r="C21" s="12">
        <f>'Revenue Model'!C11+'Revenue Model'!C19+'Revenue Model'!C25+'Revenue Model'!C37</f>
        <v>429240000</v>
      </c>
      <c r="D21" s="12">
        <f>'Revenue Model'!D11+'Revenue Model'!D19+'Revenue Model'!D25+'Revenue Model'!D37</f>
        <v>2450769600</v>
      </c>
      <c r="E21" s="12">
        <f>'Revenue Model'!E11+'Revenue Model'!E19+'Revenue Model'!E25+'Revenue Model'!E37</f>
        <v>12431925535.499996</v>
      </c>
      <c r="F21" s="12">
        <f>'Revenue Model'!F11+'Revenue Model'!F19+'Revenue Model'!F25+'Revenue Model'!F37</f>
        <v>31191865852.739994</v>
      </c>
      <c r="G21" s="12">
        <f>'Revenue Model'!G11+'Revenue Model'!G19+'Revenue Model'!G25+'Revenue Model'!G37</f>
        <v>58055185347.476234</v>
      </c>
    </row>
    <row r="22" spans="2:8" ht="15" customHeight="1" x14ac:dyDescent="0.35">
      <c r="B22" s="22" t="s">
        <v>2847</v>
      </c>
      <c r="C22" s="69">
        <f>IFERROR(-'P&amp;L'!C12/(C8+C9),0)</f>
        <v>645318.74285714282</v>
      </c>
      <c r="D22" s="69">
        <f>IFERROR(-'P&amp;L'!D12/((D8-C8)+(D9-C9)),0)</f>
        <v>447320.41229521128</v>
      </c>
      <c r="E22" s="69">
        <f>IFERROR(-'P&amp;L'!E12/((E8-D8)+(E9-D9)),0)</f>
        <v>419588.91966352431</v>
      </c>
      <c r="F22" s="69">
        <f>IFERROR(-'P&amp;L'!F12/((F8-E8)+(F9-E9)),0)</f>
        <v>520201.47318707226</v>
      </c>
      <c r="G22" s="69">
        <f>IFERROR(-'P&amp;L'!G12/((G8-F8)+(G9-F9)),0)</f>
        <v>645504.29944521468</v>
      </c>
    </row>
    <row r="23" spans="2:8" ht="15" customHeight="1" x14ac:dyDescent="0.35">
      <c r="B23" s="22" t="s">
        <v>2848</v>
      </c>
      <c r="C23" s="70">
        <f>IFERROR((SwapPrice*'P&amp;L'!C9/Churn/12)/C22,0)</f>
        <v>-0.84222739610863717</v>
      </c>
      <c r="D23" s="70">
        <f>IFERROR((SwapPrice*'P&amp;L'!D9/Churn/12)/D22,0)</f>
        <v>0.28003854803244976</v>
      </c>
      <c r="E23" s="70">
        <f>IFERROR((SwapPrice*'P&amp;L'!E9/Churn/12)/E22,0)</f>
        <v>1.135933584279506</v>
      </c>
      <c r="F23" s="70">
        <f>IFERROR((SwapPrice*'P&amp;L'!F9/Churn/12)/F22,0)</f>
        <v>1.1210629374849959</v>
      </c>
      <c r="G23" s="70">
        <f>IFERROR((SwapPrice*'P&amp;L'!G9/Churn/12)/G22,0)</f>
        <v>0.97391375036005212</v>
      </c>
    </row>
    <row r="24" spans="2:8" ht="15" customHeight="1" x14ac:dyDescent="0.35">
      <c r="B24" s="22" t="s">
        <v>2849</v>
      </c>
      <c r="C24" s="70">
        <f>IFERROR(-'Cash Flow'!C9/(C21-0),0)</f>
        <v>2.027853409211311</v>
      </c>
      <c r="D24" s="70">
        <f>IFERROR(-'Cash Flow'!D9/(D21-C21),0)</f>
        <v>0.70658911754822784</v>
      </c>
      <c r="E24" s="70">
        <f>IFERROR(-'Cash Flow'!E9/(E21-D21),0)</f>
        <v>0.12099030675384344</v>
      </c>
      <c r="F24" s="70">
        <f>IFERROR(-'Cash Flow'!F9/(F21-E21),0)</f>
        <v>-0.18576189981356017</v>
      </c>
      <c r="G24" s="70">
        <f>IFERROR(-'Cash Flow'!G9/(G21-F21),0)</f>
        <v>-0.4861071780987406</v>
      </c>
    </row>
    <row r="25" spans="2:8" ht="15" customHeight="1" x14ac:dyDescent="0.35">
      <c r="B25" s="22" t="s">
        <v>2850</v>
      </c>
      <c r="C25" s="68">
        <f>IF('Cash Flow'!C9&gt;=0,"&gt;120",IFERROR('Balance Sheet'!C6/(-'Cash Flow'!C9/12),99))</f>
        <v>44.800575288908675</v>
      </c>
      <c r="D25" s="68">
        <f>IF('Cash Flow'!D9&gt;=0,"&gt;120",IFERROR('Balance Sheet'!D6/(-'Cash Flow'!D9/12),99))</f>
        <v>38.329012657233534</v>
      </c>
      <c r="E25" s="68">
        <f>IF('Cash Flow'!E9&gt;=0,"&gt;120",IFERROR('Balance Sheet'!E6/(-'Cash Flow'!E9/12),99))</f>
        <v>87.170222048804661</v>
      </c>
      <c r="F25" s="68" t="str">
        <f>IF('Cash Flow'!F9&gt;=0,"&gt;120",IFERROR('Balance Sheet'!F6/(-'Cash Flow'!F9/12),99))</f>
        <v>&gt;120</v>
      </c>
      <c r="G25" s="68" t="str">
        <f>IF('Cash Flow'!G9&gt;=0,"&gt;120",IFERROR('Balance Sheet'!G6/(-'Cash Flow'!G9/12),99))</f>
        <v>&gt;120</v>
      </c>
    </row>
  </sheetData>
  <mergeCells count="4">
    <mergeCell ref="B1:H1"/>
    <mergeCell ref="B5:H5"/>
    <mergeCell ref="B13:H13"/>
    <mergeCell ref="B20:H20"/>
  </mergeCells>
  <pageMargins left="0.75" right="0.75" top="1" bottom="1"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98754"/>
  </sheetPr>
  <dimension ref="B1:G23"/>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ColWidth="8.54296875" defaultRowHeight="14.5" x14ac:dyDescent="0.35"/>
  <cols>
    <col min="1" max="1" width="3" customWidth="1"/>
    <col min="2" max="2" width="30" customWidth="1"/>
    <col min="3" max="7" width="16" customWidth="1"/>
  </cols>
  <sheetData>
    <row r="1" spans="2:7" ht="30" customHeight="1" x14ac:dyDescent="0.35">
      <c r="B1" s="487" t="s">
        <v>2851</v>
      </c>
      <c r="C1" s="487"/>
      <c r="D1" s="487"/>
      <c r="E1" s="487"/>
      <c r="F1" s="487"/>
      <c r="G1" s="487"/>
    </row>
    <row r="3" spans="2:7" ht="15" customHeight="1" x14ac:dyDescent="0.35">
      <c r="C3" s="11" t="s">
        <v>12</v>
      </c>
      <c r="D3" s="11" t="s">
        <v>13</v>
      </c>
      <c r="E3" s="11" t="s">
        <v>14</v>
      </c>
      <c r="F3" s="11" t="s">
        <v>15</v>
      </c>
      <c r="G3" s="11" t="s">
        <v>16</v>
      </c>
    </row>
    <row r="5" spans="2:7" ht="15" customHeight="1" x14ac:dyDescent="0.35">
      <c r="B5" s="550" t="s">
        <v>2852</v>
      </c>
      <c r="C5" s="550"/>
      <c r="D5" s="550"/>
      <c r="E5" s="550"/>
      <c r="F5" s="550"/>
      <c r="G5" s="550"/>
    </row>
    <row r="6" spans="2:7" ht="15" customHeight="1" x14ac:dyDescent="0.35">
      <c r="B6" s="22" t="s">
        <v>2853</v>
      </c>
      <c r="C6" s="14">
        <f>ESG!C6</f>
        <v>75</v>
      </c>
      <c r="D6" s="14">
        <f>ESG!D6</f>
        <v>420</v>
      </c>
      <c r="E6" s="14">
        <f>ESG!E6</f>
        <v>1687.5</v>
      </c>
      <c r="F6" s="14">
        <f>ESG!F6</f>
        <v>3750</v>
      </c>
      <c r="G6" s="14">
        <f>ESG!G6</f>
        <v>6600</v>
      </c>
    </row>
    <row r="7" spans="2:7" ht="15" customHeight="1" x14ac:dyDescent="0.35">
      <c r="B7" s="22" t="s">
        <v>2854</v>
      </c>
      <c r="C7" s="14">
        <f>ESG!C7</f>
        <v>13.600000000000001</v>
      </c>
      <c r="D7" s="14">
        <f>ESG!D7</f>
        <v>54.400000000000006</v>
      </c>
      <c r="E7" s="14">
        <f>ESG!E7</f>
        <v>252.45000000000002</v>
      </c>
      <c r="F7" s="14">
        <f>ESG!F7</f>
        <v>549.1</v>
      </c>
      <c r="G7" s="14">
        <f>ESG!G7</f>
        <v>892.50000000000011</v>
      </c>
    </row>
    <row r="8" spans="2:7" ht="15" customHeight="1" x14ac:dyDescent="0.35">
      <c r="B8" s="22" t="s">
        <v>2855</v>
      </c>
      <c r="C8" s="14">
        <f>ESG!C8</f>
        <v>7.5</v>
      </c>
      <c r="D8" s="14">
        <f>ESG!D8</f>
        <v>50</v>
      </c>
      <c r="E8" s="14">
        <f>ESG!E8</f>
        <v>247.50000000000003</v>
      </c>
      <c r="F8" s="14">
        <f>ESG!F8</f>
        <v>715</v>
      </c>
      <c r="G8" s="14">
        <f>ESG!G8</f>
        <v>1400</v>
      </c>
    </row>
    <row r="9" spans="2:7" ht="15" customHeight="1" x14ac:dyDescent="0.35">
      <c r="B9" s="22" t="s">
        <v>2856</v>
      </c>
      <c r="C9" s="14">
        <f>ESG!C9</f>
        <v>0.375</v>
      </c>
      <c r="D9" s="14">
        <f>ESG!D9</f>
        <v>2.5</v>
      </c>
      <c r="E9" s="14">
        <f>ESG!E9</f>
        <v>12.375000000000002</v>
      </c>
      <c r="F9" s="14">
        <f>ESG!F9</f>
        <v>35.75</v>
      </c>
      <c r="G9" s="14">
        <f>ESG!G9</f>
        <v>70</v>
      </c>
    </row>
    <row r="10" spans="2:7" ht="15" customHeight="1" x14ac:dyDescent="0.35">
      <c r="B10" s="1" t="s">
        <v>2825</v>
      </c>
      <c r="C10" s="71">
        <f>SUM(C6:C9)</f>
        <v>96.474999999999994</v>
      </c>
      <c r="D10" s="71">
        <f>SUM(D6:D9)</f>
        <v>526.9</v>
      </c>
      <c r="E10" s="71">
        <f>SUM(E6:E9)</f>
        <v>2199.8250000000003</v>
      </c>
      <c r="F10" s="71">
        <f>SUM(F6:F9)</f>
        <v>5049.8500000000004</v>
      </c>
      <c r="G10" s="71">
        <f>SUM(G6:G9)</f>
        <v>8962.5</v>
      </c>
    </row>
    <row r="12" spans="2:7" ht="15" customHeight="1" x14ac:dyDescent="0.35">
      <c r="B12" s="550" t="s">
        <v>2857</v>
      </c>
      <c r="C12" s="550"/>
      <c r="D12" s="550"/>
      <c r="E12" s="550"/>
      <c r="F12" s="550"/>
      <c r="G12" s="550"/>
    </row>
    <row r="13" spans="2:7" ht="15" customHeight="1" x14ac:dyDescent="0.35">
      <c r="B13" s="22" t="s">
        <v>2858</v>
      </c>
      <c r="C13" s="48">
        <f>C10</f>
        <v>96.474999999999994</v>
      </c>
      <c r="D13" s="48">
        <f>D10</f>
        <v>526.9</v>
      </c>
      <c r="E13" s="48">
        <f>E10</f>
        <v>2199.8250000000003</v>
      </c>
      <c r="F13" s="48">
        <f>F10</f>
        <v>5049.8500000000004</v>
      </c>
      <c r="G13" s="48">
        <f>G10</f>
        <v>8962.5</v>
      </c>
    </row>
    <row r="14" spans="2:7" ht="15" customHeight="1" x14ac:dyDescent="0.35">
      <c r="B14" s="22" t="s">
        <v>2859</v>
      </c>
      <c r="C14" s="23">
        <v>0.4</v>
      </c>
      <c r="D14" s="23">
        <v>0.55000000000000004</v>
      </c>
      <c r="E14" s="23">
        <v>0.7</v>
      </c>
      <c r="F14" s="23">
        <v>0.8</v>
      </c>
      <c r="G14" s="23">
        <v>0.85</v>
      </c>
    </row>
    <row r="15" spans="2:7" ht="15" customHeight="1" x14ac:dyDescent="0.35">
      <c r="B15" s="22" t="s">
        <v>2860</v>
      </c>
      <c r="C15" s="48">
        <f>C13*C14</f>
        <v>38.590000000000003</v>
      </c>
      <c r="D15" s="48">
        <f>D13*D14</f>
        <v>289.79500000000002</v>
      </c>
      <c r="E15" s="48">
        <f>E13*E14</f>
        <v>1539.8775000000001</v>
      </c>
      <c r="F15" s="48">
        <f>F13*F14</f>
        <v>4039.8800000000006</v>
      </c>
      <c r="G15" s="48">
        <f>G13*G14</f>
        <v>7618.125</v>
      </c>
    </row>
    <row r="16" spans="2:7" ht="15" customHeight="1" x14ac:dyDescent="0.35">
      <c r="B16" s="22" t="s">
        <v>2861</v>
      </c>
      <c r="C16" s="50">
        <f>CarbonPriceID</f>
        <v>96000</v>
      </c>
      <c r="D16" s="50">
        <f>CarbonPriceID</f>
        <v>96000</v>
      </c>
      <c r="E16" s="50">
        <f>CarbonPriceID</f>
        <v>96000</v>
      </c>
      <c r="F16" s="50">
        <f>CarbonPriceID</f>
        <v>96000</v>
      </c>
      <c r="G16" s="50">
        <f>CarbonPriceID</f>
        <v>96000</v>
      </c>
    </row>
    <row r="17" spans="2:7" ht="15" customHeight="1" x14ac:dyDescent="0.35">
      <c r="B17" s="22" t="s">
        <v>2730</v>
      </c>
      <c r="C17" s="49">
        <f>CarbonMonetization</f>
        <v>0.7</v>
      </c>
      <c r="D17" s="49">
        <f>CarbonMonetization</f>
        <v>0.7</v>
      </c>
      <c r="E17" s="49">
        <f>CarbonMonetization</f>
        <v>0.7</v>
      </c>
      <c r="F17" s="49">
        <f>CarbonMonetization</f>
        <v>0.7</v>
      </c>
      <c r="G17" s="49">
        <f>CarbonMonetization</f>
        <v>0.7</v>
      </c>
    </row>
    <row r="18" spans="2:7" ht="15" customHeight="1" x14ac:dyDescent="0.35">
      <c r="B18" s="1" t="s">
        <v>2862</v>
      </c>
      <c r="C18" s="61">
        <f>C15*C16*C17</f>
        <v>2593248</v>
      </c>
      <c r="D18" s="61">
        <f>D15*D16*D17</f>
        <v>19474224</v>
      </c>
      <c r="E18" s="61">
        <f>E15*E16*E17</f>
        <v>103479768</v>
      </c>
      <c r="F18" s="61">
        <f>F15*F16*F17</f>
        <v>271479936</v>
      </c>
      <c r="G18" s="61">
        <f>G15*G16*G17</f>
        <v>511937999.99999994</v>
      </c>
    </row>
    <row r="21" spans="2:7" ht="15" customHeight="1" x14ac:dyDescent="0.35">
      <c r="B21" s="485" t="s">
        <v>2863</v>
      </c>
      <c r="C21" s="485"/>
      <c r="D21" s="485"/>
      <c r="E21" s="485"/>
      <c r="F21" s="485"/>
      <c r="G21" s="485"/>
    </row>
    <row r="22" spans="2:7" ht="15" customHeight="1" x14ac:dyDescent="0.35">
      <c r="B22" s="1" t="s">
        <v>2864</v>
      </c>
      <c r="C22" s="72">
        <v>25000</v>
      </c>
      <c r="D22" s="72">
        <v>50000</v>
      </c>
      <c r="E22" s="72">
        <v>96000</v>
      </c>
      <c r="F22" s="72">
        <v>150000</v>
      </c>
      <c r="G22" s="72">
        <v>250000</v>
      </c>
    </row>
    <row r="23" spans="2:7" ht="15" customHeight="1" x14ac:dyDescent="0.35">
      <c r="B23" s="1" t="s">
        <v>2865</v>
      </c>
      <c r="C23" s="73">
        <f>G15*C22*G17</f>
        <v>133317187.49999999</v>
      </c>
      <c r="D23" s="73">
        <f>G15*D22*G17</f>
        <v>266634374.99999997</v>
      </c>
      <c r="E23" s="73">
        <f>G15*E22*G17</f>
        <v>511937999.99999994</v>
      </c>
      <c r="F23" s="73">
        <f>G15*F22*G17</f>
        <v>799903125</v>
      </c>
      <c r="G23" s="73">
        <f>G15*G22*G17</f>
        <v>1333171875</v>
      </c>
    </row>
  </sheetData>
  <mergeCells count="4">
    <mergeCell ref="B1:G1"/>
    <mergeCell ref="B5:G5"/>
    <mergeCell ref="B12:G12"/>
    <mergeCell ref="B21:G21"/>
  </mergeCells>
  <pageMargins left="0.75" right="0.75" top="1" bottom="1"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98754"/>
  </sheetPr>
  <dimension ref="B1:H38"/>
  <sheetViews>
    <sheetView zoomScale="94" zoomScaleNormal="100" workbookViewId="0">
      <pane xSplit="2" ySplit="4" topLeftCell="C15" activePane="bottomRight" state="frozen"/>
      <selection pane="topRight" activeCell="C1" sqref="C1"/>
      <selection pane="bottomLeft" activeCell="A5" sqref="A5"/>
      <selection pane="bottomRight"/>
    </sheetView>
  </sheetViews>
  <sheetFormatPr defaultColWidth="8.54296875" defaultRowHeight="14.5" x14ac:dyDescent="0.35"/>
  <cols>
    <col min="1" max="1" width="3" customWidth="1"/>
    <col min="2" max="2" width="30" customWidth="1"/>
    <col min="3" max="7" width="16" customWidth="1"/>
    <col min="8" max="8" width="20" customWidth="1"/>
  </cols>
  <sheetData>
    <row r="1" spans="2:8" ht="30" customHeight="1" x14ac:dyDescent="0.35">
      <c r="B1" s="487" t="s">
        <v>2866</v>
      </c>
      <c r="C1" s="487"/>
      <c r="D1" s="487"/>
      <c r="E1" s="487"/>
      <c r="F1" s="487"/>
      <c r="G1" s="487"/>
      <c r="H1" s="487"/>
    </row>
    <row r="3" spans="2:8" ht="15" customHeight="1" x14ac:dyDescent="0.35">
      <c r="C3" s="11" t="s">
        <v>12</v>
      </c>
      <c r="D3" s="11" t="s">
        <v>13</v>
      </c>
      <c r="E3" s="11" t="s">
        <v>14</v>
      </c>
      <c r="F3" s="11" t="s">
        <v>15</v>
      </c>
      <c r="G3" s="11" t="s">
        <v>16</v>
      </c>
      <c r="H3" s="1" t="s">
        <v>2476</v>
      </c>
    </row>
    <row r="5" spans="2:8" ht="15" customHeight="1" x14ac:dyDescent="0.35">
      <c r="B5" s="550" t="s">
        <v>2867</v>
      </c>
      <c r="C5" s="550"/>
      <c r="D5" s="550"/>
      <c r="E5" s="550"/>
      <c r="F5" s="550"/>
      <c r="G5" s="550"/>
      <c r="H5" s="550"/>
    </row>
    <row r="6" spans="2:8" ht="15" customHeight="1" x14ac:dyDescent="0.35">
      <c r="B6" t="s">
        <v>2853</v>
      </c>
      <c r="C6" s="14">
        <f>'Revenue Model'!C8*1.5</f>
        <v>75</v>
      </c>
      <c r="D6" s="14">
        <f>'Revenue Model'!D8*1.5</f>
        <v>420</v>
      </c>
      <c r="E6" s="14">
        <f>'Revenue Model'!E8*1.5</f>
        <v>1687.5</v>
      </c>
      <c r="F6" s="14">
        <f>'Revenue Model'!F8*1.5</f>
        <v>3750</v>
      </c>
      <c r="G6" s="14">
        <f>'Revenue Model'!G8*1.5</f>
        <v>6600</v>
      </c>
      <c r="H6" s="74" t="s">
        <v>2868</v>
      </c>
    </row>
    <row r="7" spans="2:8" ht="15" customHeight="1" x14ac:dyDescent="0.35">
      <c r="B7" t="s">
        <v>2854</v>
      </c>
      <c r="C7" s="14">
        <f>'Revenue Model'!C16*0.085</f>
        <v>13.600000000000001</v>
      </c>
      <c r="D7" s="14">
        <f>'Revenue Model'!D16*0.085</f>
        <v>54.400000000000006</v>
      </c>
      <c r="E7" s="14">
        <f>'Revenue Model'!E16*0.085</f>
        <v>252.45000000000002</v>
      </c>
      <c r="F7" s="14">
        <f>'Revenue Model'!F16*0.085</f>
        <v>549.1</v>
      </c>
      <c r="G7" s="14">
        <f>'Revenue Model'!G16*0.085</f>
        <v>892.50000000000011</v>
      </c>
      <c r="H7" s="74" t="s">
        <v>2869</v>
      </c>
    </row>
    <row r="8" spans="2:8" ht="15" customHeight="1" x14ac:dyDescent="0.35">
      <c r="B8" t="s">
        <v>2855</v>
      </c>
      <c r="C8" s="14">
        <f>INDEX(BatteriesRow,1)*0.5*0.3</f>
        <v>7.5</v>
      </c>
      <c r="D8" s="14">
        <f>INDEX(BatteriesRow,2)*0.5*0.4</f>
        <v>50</v>
      </c>
      <c r="E8" s="14">
        <f>INDEX(BatteriesRow,3)*0.5*0.55</f>
        <v>247.50000000000003</v>
      </c>
      <c r="F8" s="14">
        <f>INDEX(BatteriesRow,4)*0.5*0.65</f>
        <v>715</v>
      </c>
      <c r="G8" s="14">
        <f>INDEX(BatteriesRow,5)*0.5*0.7</f>
        <v>1400</v>
      </c>
      <c r="H8" s="74" t="s">
        <v>2870</v>
      </c>
    </row>
    <row r="9" spans="2:8" ht="15" customHeight="1" x14ac:dyDescent="0.35">
      <c r="B9" t="s">
        <v>2856</v>
      </c>
      <c r="C9" s="14">
        <f>INDEX(BatteriesRow,1)*0.025*0.3</f>
        <v>0.375</v>
      </c>
      <c r="D9" s="14">
        <f>INDEX(BatteriesRow,2)*0.025*0.4</f>
        <v>2.5</v>
      </c>
      <c r="E9" s="14">
        <f>INDEX(BatteriesRow,3)*0.025*0.55</f>
        <v>12.375000000000002</v>
      </c>
      <c r="F9" s="14">
        <f>INDEX(BatteriesRow,4)*0.025*0.65</f>
        <v>35.75</v>
      </c>
      <c r="G9" s="14">
        <f>INDEX(BatteriesRow,5)*0.025*0.7</f>
        <v>70</v>
      </c>
      <c r="H9" s="74" t="s">
        <v>2871</v>
      </c>
    </row>
    <row r="10" spans="2:8" ht="15" customHeight="1" x14ac:dyDescent="0.35">
      <c r="B10" s="75" t="s">
        <v>2872</v>
      </c>
      <c r="C10" s="76">
        <f>SUM(C6:C9)</f>
        <v>96.474999999999994</v>
      </c>
      <c r="D10" s="76">
        <f>SUM(D6:D9)</f>
        <v>526.9</v>
      </c>
      <c r="E10" s="76">
        <f>SUM(E6:E9)</f>
        <v>2199.8250000000003</v>
      </c>
      <c r="F10" s="76">
        <f>SUM(F6:F9)</f>
        <v>5049.8500000000004</v>
      </c>
      <c r="G10" s="76">
        <f>SUM(G6:G9)</f>
        <v>8962.5</v>
      </c>
    </row>
    <row r="11" spans="2:8" ht="15" customHeight="1" x14ac:dyDescent="0.35">
      <c r="B11" t="s">
        <v>28</v>
      </c>
      <c r="C11" s="14">
        <f>'Revenue Model'!C16*50*365*0.27</f>
        <v>788400</v>
      </c>
      <c r="D11" s="14">
        <f>'Revenue Model'!D16*50*365*0.27</f>
        <v>3153600</v>
      </c>
      <c r="E11" s="14">
        <f>'Revenue Model'!E16*50*365*0.27</f>
        <v>14634675.000000002</v>
      </c>
      <c r="F11" s="14">
        <f>'Revenue Model'!F16*50*365*0.27</f>
        <v>31831650.000000004</v>
      </c>
      <c r="G11" s="14">
        <f>'Revenue Model'!G16*50*365*0.27</f>
        <v>51738750</v>
      </c>
    </row>
    <row r="12" spans="2:8" ht="15" customHeight="1" x14ac:dyDescent="0.35">
      <c r="B12" t="s">
        <v>2873</v>
      </c>
      <c r="C12" s="14">
        <f>'Revenue Model'!C16*1.5*365</f>
        <v>87600</v>
      </c>
      <c r="D12" s="14">
        <f>'Revenue Model'!D16*1.5*365</f>
        <v>350400</v>
      </c>
      <c r="E12" s="14">
        <f>'Revenue Model'!E16*1.5*365</f>
        <v>1626075</v>
      </c>
      <c r="F12" s="14">
        <f>'Revenue Model'!F16*1.5*365</f>
        <v>3536850</v>
      </c>
      <c r="G12" s="14">
        <f>'Revenue Model'!G16*1.5*365</f>
        <v>5748750</v>
      </c>
    </row>
    <row r="14" spans="2:8" ht="15" customHeight="1" x14ac:dyDescent="0.35">
      <c r="B14" s="550" t="s">
        <v>2874</v>
      </c>
      <c r="C14" s="550"/>
      <c r="D14" s="550"/>
      <c r="E14" s="550"/>
      <c r="F14" s="550"/>
      <c r="G14" s="550"/>
      <c r="H14" s="550"/>
    </row>
    <row r="15" spans="2:8" ht="15" customHeight="1" x14ac:dyDescent="0.35">
      <c r="B15" t="s">
        <v>26</v>
      </c>
      <c r="C15" s="14">
        <f>'Revenue Model'!C16</f>
        <v>160</v>
      </c>
      <c r="D15" s="14">
        <f>'Revenue Model'!D16</f>
        <v>640</v>
      </c>
      <c r="E15" s="14">
        <f>'Revenue Model'!E16</f>
        <v>2970</v>
      </c>
      <c r="F15" s="14">
        <f>'Revenue Model'!F16</f>
        <v>6460</v>
      </c>
      <c r="G15" s="14">
        <f>'Revenue Model'!G16</f>
        <v>10500</v>
      </c>
    </row>
    <row r="16" spans="2:8" ht="15" customHeight="1" x14ac:dyDescent="0.35">
      <c r="B16" t="s">
        <v>2875</v>
      </c>
      <c r="C16" s="14">
        <f>'Revenue Model'!C8</f>
        <v>50</v>
      </c>
      <c r="D16" s="14">
        <f>'Revenue Model'!D8</f>
        <v>280</v>
      </c>
      <c r="E16" s="14">
        <f>'Revenue Model'!E8</f>
        <v>1125</v>
      </c>
      <c r="F16" s="14">
        <f>'Revenue Model'!F8</f>
        <v>2500</v>
      </c>
      <c r="G16" s="14">
        <f>'Revenue Model'!G8</f>
        <v>4400</v>
      </c>
    </row>
    <row r="17" spans="2:8" ht="15" customHeight="1" x14ac:dyDescent="0.35">
      <c r="B17" t="s">
        <v>2876</v>
      </c>
      <c r="C17" s="25">
        <v>15</v>
      </c>
      <c r="D17" s="25">
        <v>30</v>
      </c>
      <c r="E17" s="25">
        <v>75</v>
      </c>
      <c r="F17" s="25">
        <v>130</v>
      </c>
      <c r="G17" s="25">
        <v>195</v>
      </c>
    </row>
    <row r="18" spans="2:8" ht="15" customHeight="1" x14ac:dyDescent="0.35">
      <c r="B18" t="s">
        <v>2877</v>
      </c>
      <c r="C18" s="48">
        <f>C17*3</f>
        <v>45</v>
      </c>
      <c r="D18" s="48">
        <f>D17*3</f>
        <v>90</v>
      </c>
      <c r="E18" s="48">
        <f>E17*3</f>
        <v>225</v>
      </c>
      <c r="F18" s="48">
        <f>F17*3</f>
        <v>390</v>
      </c>
      <c r="G18" s="48">
        <f>G17*3</f>
        <v>585</v>
      </c>
    </row>
    <row r="20" spans="2:8" ht="15" customHeight="1" x14ac:dyDescent="0.35">
      <c r="B20" s="550" t="s">
        <v>2878</v>
      </c>
      <c r="C20" s="550"/>
      <c r="D20" s="550"/>
      <c r="E20" s="550"/>
      <c r="F20" s="550"/>
      <c r="G20" s="550"/>
      <c r="H20" s="550"/>
    </row>
    <row r="21" spans="2:8" ht="15" customHeight="1" x14ac:dyDescent="0.35">
      <c r="B21" t="s">
        <v>2879</v>
      </c>
      <c r="C21" s="77">
        <f>INDEX(BatteriesRow,1)*0.025*0.3</f>
        <v>0.375</v>
      </c>
      <c r="D21" s="77">
        <f>INDEX(BatteriesRow,2)*0.025*0.4</f>
        <v>2.5</v>
      </c>
      <c r="E21" s="77">
        <f>INDEX(BatteriesRow,3)*0.025*0.55</f>
        <v>12.375000000000002</v>
      </c>
      <c r="F21" s="77">
        <f>INDEX(BatteriesRow,4)*0.025*0.65</f>
        <v>35.75</v>
      </c>
      <c r="G21" s="77">
        <f>INDEX(BatteriesRow,5)*0.025*0.7</f>
        <v>70</v>
      </c>
    </row>
    <row r="23" spans="2:8" ht="15" customHeight="1" x14ac:dyDescent="0.35">
      <c r="B23" s="550" t="s">
        <v>2880</v>
      </c>
      <c r="C23" s="550"/>
      <c r="D23" s="550"/>
      <c r="E23" s="550"/>
      <c r="F23" s="550"/>
      <c r="G23" s="550"/>
      <c r="H23" s="550"/>
    </row>
    <row r="24" spans="2:8" ht="15" customHeight="1" x14ac:dyDescent="0.35">
      <c r="B24" s="27" t="s">
        <v>2881</v>
      </c>
      <c r="C24" s="551" t="s">
        <v>2882</v>
      </c>
      <c r="D24" s="551"/>
      <c r="E24" s="544" t="s">
        <v>2883</v>
      </c>
      <c r="F24" s="544"/>
      <c r="G24" s="544"/>
      <c r="H24" s="544"/>
    </row>
    <row r="25" spans="2:8" ht="15" customHeight="1" x14ac:dyDescent="0.35">
      <c r="B25" s="27" t="s">
        <v>2884</v>
      </c>
      <c r="C25" s="551" t="s">
        <v>2885</v>
      </c>
      <c r="D25" s="551"/>
      <c r="E25" s="544" t="s">
        <v>2886</v>
      </c>
      <c r="F25" s="544"/>
      <c r="G25" s="544"/>
      <c r="H25" s="544"/>
    </row>
    <row r="26" spans="2:8" ht="15" customHeight="1" x14ac:dyDescent="0.35">
      <c r="B26" s="27" t="s">
        <v>2887</v>
      </c>
      <c r="C26" s="551" t="s">
        <v>2888</v>
      </c>
      <c r="D26" s="551"/>
      <c r="E26" s="544" t="s">
        <v>2889</v>
      </c>
      <c r="F26" s="544"/>
      <c r="G26" s="544"/>
      <c r="H26" s="544"/>
    </row>
    <row r="27" spans="2:8" ht="15" customHeight="1" x14ac:dyDescent="0.35">
      <c r="B27" s="27" t="s">
        <v>2890</v>
      </c>
      <c r="C27" s="551" t="s">
        <v>2891</v>
      </c>
      <c r="D27" s="551"/>
      <c r="E27" s="544" t="s">
        <v>2892</v>
      </c>
      <c r="F27" s="544"/>
      <c r="G27" s="544"/>
      <c r="H27" s="544"/>
    </row>
    <row r="28" spans="2:8" ht="15" customHeight="1" x14ac:dyDescent="0.35">
      <c r="B28" s="27" t="s">
        <v>2893</v>
      </c>
      <c r="C28" s="551" t="s">
        <v>2894</v>
      </c>
      <c r="D28" s="551"/>
      <c r="E28" s="544" t="s">
        <v>2895</v>
      </c>
      <c r="F28" s="544"/>
      <c r="G28" s="544"/>
      <c r="H28" s="544"/>
    </row>
    <row r="31" spans="2:8" x14ac:dyDescent="0.35">
      <c r="B31" s="424" t="s">
        <v>4894</v>
      </c>
    </row>
    <row r="32" spans="2:8" x14ac:dyDescent="0.35">
      <c r="B32" t="s">
        <v>4895</v>
      </c>
      <c r="C32" t="s">
        <v>2429</v>
      </c>
      <c r="D32" s="188" t="s">
        <v>4896</v>
      </c>
      <c r="E32" s="188" t="s">
        <v>1487</v>
      </c>
    </row>
    <row r="33" spans="2:5" x14ac:dyDescent="0.35">
      <c r="B33" t="s">
        <v>4897</v>
      </c>
      <c r="C33" s="425">
        <v>0.87</v>
      </c>
      <c r="D33" s="346" t="s">
        <v>4898</v>
      </c>
      <c r="E33" s="359" t="s">
        <v>4899</v>
      </c>
    </row>
    <row r="34" spans="2:5" x14ac:dyDescent="0.35">
      <c r="B34" t="s">
        <v>4900</v>
      </c>
      <c r="C34" s="404">
        <v>1.5</v>
      </c>
      <c r="D34" s="346" t="s">
        <v>4901</v>
      </c>
      <c r="E34" s="359" t="s">
        <v>3133</v>
      </c>
    </row>
    <row r="35" spans="2:5" x14ac:dyDescent="0.35">
      <c r="B35" t="s">
        <v>4902</v>
      </c>
      <c r="C35" s="426">
        <v>8.5000000000000006E-2</v>
      </c>
      <c r="D35" s="346" t="s">
        <v>4903</v>
      </c>
      <c r="E35" s="359" t="s">
        <v>3133</v>
      </c>
    </row>
    <row r="36" spans="2:5" x14ac:dyDescent="0.35">
      <c r="B36" t="s">
        <v>4904</v>
      </c>
      <c r="C36" s="404">
        <v>0.5</v>
      </c>
      <c r="D36" s="346" t="s">
        <v>4905</v>
      </c>
      <c r="E36" s="359" t="s">
        <v>3133</v>
      </c>
    </row>
    <row r="37" spans="2:5" x14ac:dyDescent="0.35">
      <c r="B37" t="s">
        <v>4906</v>
      </c>
      <c r="C37" s="36">
        <v>25</v>
      </c>
      <c r="D37" s="346" t="s">
        <v>4907</v>
      </c>
      <c r="E37" s="359" t="s">
        <v>3133</v>
      </c>
    </row>
    <row r="38" spans="2:5" x14ac:dyDescent="0.35">
      <c r="B38" s="428" t="s">
        <v>4908</v>
      </c>
    </row>
  </sheetData>
  <mergeCells count="15">
    <mergeCell ref="C27:D27"/>
    <mergeCell ref="E27:H27"/>
    <mergeCell ref="C28:D28"/>
    <mergeCell ref="E28:H28"/>
    <mergeCell ref="C24:D24"/>
    <mergeCell ref="E24:H24"/>
    <mergeCell ref="C25:D25"/>
    <mergeCell ref="E25:H25"/>
    <mergeCell ref="C26:D26"/>
    <mergeCell ref="E26:H26"/>
    <mergeCell ref="B1:H1"/>
    <mergeCell ref="B5:H5"/>
    <mergeCell ref="B14:H14"/>
    <mergeCell ref="B20:H20"/>
    <mergeCell ref="B23:H23"/>
  </mergeCells>
  <pageMargins left="0.75" right="0.75" top="1" bottom="1" header="0.511811023622047" footer="0.511811023622047"/>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4E79"/>
  </sheetPr>
  <dimension ref="B1:H52"/>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ColWidth="8.54296875" defaultRowHeight="14.5" x14ac:dyDescent="0.35"/>
  <cols>
    <col min="1" max="1" width="3" customWidth="1"/>
    <col min="2" max="2" width="30" customWidth="1"/>
    <col min="3" max="7" width="16" customWidth="1"/>
    <col min="8" max="8" width="18" customWidth="1"/>
  </cols>
  <sheetData>
    <row r="1" spans="2:8" ht="30" customHeight="1" x14ac:dyDescent="0.35">
      <c r="B1" s="487" t="s">
        <v>2896</v>
      </c>
      <c r="C1" s="487"/>
      <c r="D1" s="487"/>
      <c r="E1" s="487"/>
      <c r="F1" s="487"/>
      <c r="G1" s="487"/>
      <c r="H1" s="487"/>
    </row>
    <row r="3" spans="2:8" ht="15" customHeight="1" x14ac:dyDescent="0.35">
      <c r="C3" s="11" t="s">
        <v>12</v>
      </c>
      <c r="D3" s="11" t="s">
        <v>13</v>
      </c>
      <c r="E3" s="11" t="s">
        <v>14</v>
      </c>
      <c r="F3" s="11" t="s">
        <v>15</v>
      </c>
      <c r="G3" s="11" t="s">
        <v>16</v>
      </c>
      <c r="H3" s="11" t="s">
        <v>2897</v>
      </c>
    </row>
    <row r="5" spans="2:8" ht="15" customHeight="1" x14ac:dyDescent="0.35">
      <c r="B5" s="550" t="s">
        <v>2898</v>
      </c>
      <c r="C5" s="550"/>
      <c r="D5" s="550"/>
      <c r="E5" s="550"/>
      <c r="F5" s="550"/>
      <c r="G5" s="550"/>
      <c r="H5" s="550"/>
    </row>
    <row r="6" spans="2:8" ht="15" customHeight="1" x14ac:dyDescent="0.35">
      <c r="B6" t="s">
        <v>2899</v>
      </c>
      <c r="C6" s="39">
        <f>Assumptions!B42*HubCapex*(1+CapexInfl)^0</f>
        <v>1600520332.0243199</v>
      </c>
      <c r="D6" s="39">
        <f>(Assumptions!C42-Assumptions!B42)*HubCapex*(1+CapexInfl)^1</f>
        <v>4945607825.9551487</v>
      </c>
      <c r="E6" s="39">
        <f>(Assumptions!D42-Assumptions!C42)*HubCapex*(1+CapexInfl)^2</f>
        <v>14432932172.079107</v>
      </c>
      <c r="F6" s="39">
        <f>(Assumptions!E42-Assumptions!D42)*HubCapex*(1+CapexInfl)^3</f>
        <v>21861647260.649235</v>
      </c>
      <c r="G6" s="39">
        <f>(Assumptions!F42-Assumptions!E42)*HubCapex*(1+CapexInfl)^4</f>
        <v>27020996014.162457</v>
      </c>
    </row>
    <row r="7" spans="2:8" ht="15" customHeight="1" x14ac:dyDescent="0.35">
      <c r="B7" t="s">
        <v>2900</v>
      </c>
      <c r="C7" s="39">
        <f>Assumptions!B43*MicroCapex*(1+CapexInfl)^0</f>
        <v>279375164.41999996</v>
      </c>
      <c r="D7" s="39">
        <f>(Assumptions!C43-Assumptions!B43)*MicroCapex*(1+CapexInfl)^1</f>
        <v>863269258.05779994</v>
      </c>
      <c r="E7" s="39">
        <f>(Assumptions!D43-Assumptions!C43)*MicroCapex*(1+CapexInfl)^2</f>
        <v>4149447567.0644908</v>
      </c>
      <c r="F7" s="39">
        <f>(Assumptions!E43-Assumptions!D43)*MicroCapex*(1+CapexInfl)^3</f>
        <v>6105615705.8234663</v>
      </c>
      <c r="G7" s="39">
        <f>(Assumptions!F43-Assumptions!E43)*MicroCapex*(1+CapexInfl)^4</f>
        <v>6917662594.6979856</v>
      </c>
    </row>
    <row r="8" spans="2:8" ht="15" customHeight="1" x14ac:dyDescent="0.35">
      <c r="B8" t="s">
        <v>2901</v>
      </c>
      <c r="C8" s="53">
        <v>300000000</v>
      </c>
      <c r="D8" s="53">
        <v>200000000</v>
      </c>
      <c r="E8" s="53">
        <v>150000000</v>
      </c>
      <c r="F8" s="53">
        <v>100000000</v>
      </c>
      <c r="G8" s="53">
        <v>100000000</v>
      </c>
    </row>
    <row r="9" spans="2:8" ht="15" customHeight="1" x14ac:dyDescent="0.35">
      <c r="B9" t="s">
        <v>2902</v>
      </c>
      <c r="C9" s="53">
        <v>400000000</v>
      </c>
      <c r="D9" s="53">
        <v>300000000</v>
      </c>
      <c r="E9" s="53">
        <v>250000000</v>
      </c>
      <c r="F9" s="53">
        <v>200000000</v>
      </c>
      <c r="G9" s="53">
        <v>200000000</v>
      </c>
    </row>
    <row r="10" spans="2:8" ht="15" customHeight="1" x14ac:dyDescent="0.35">
      <c r="B10" t="s">
        <v>2903</v>
      </c>
      <c r="C10" s="53">
        <v>100000000</v>
      </c>
      <c r="D10" s="53">
        <v>150000000</v>
      </c>
      <c r="E10" s="53">
        <v>200000000</v>
      </c>
      <c r="F10" s="53">
        <v>250000000</v>
      </c>
      <c r="G10" s="53">
        <v>250000000</v>
      </c>
    </row>
    <row r="11" spans="2:8" ht="15" customHeight="1" x14ac:dyDescent="0.35">
      <c r="B11" s="75" t="s">
        <v>2904</v>
      </c>
      <c r="C11" s="78">
        <f>SUM(C6:C10)</f>
        <v>2679895496.4443197</v>
      </c>
      <c r="D11" s="78">
        <f>SUM(D6:D10)</f>
        <v>6458877084.012949</v>
      </c>
      <c r="E11" s="78">
        <f>SUM(E6:E10)</f>
        <v>19182379739.143597</v>
      </c>
      <c r="F11" s="78">
        <f>SUM(F6:F10)</f>
        <v>28517262966.472702</v>
      </c>
      <c r="G11" s="78">
        <f>SUM(G6:G10)</f>
        <v>34488658608.860443</v>
      </c>
      <c r="H11" s="83">
        <f>SUM(C11:G11)</f>
        <v>91327073894.934006</v>
      </c>
    </row>
    <row r="13" spans="2:8" ht="15" customHeight="1" x14ac:dyDescent="0.35">
      <c r="B13" s="550" t="s">
        <v>2905</v>
      </c>
      <c r="C13" s="550"/>
      <c r="D13" s="550"/>
      <c r="E13" s="550"/>
      <c r="F13" s="550"/>
      <c r="G13" s="550"/>
      <c r="H13" s="550"/>
    </row>
    <row r="14" spans="2:8" ht="15" customHeight="1" x14ac:dyDescent="0.35">
      <c r="B14" t="s">
        <v>2906</v>
      </c>
      <c r="C14" s="84">
        <v>5</v>
      </c>
      <c r="D14" s="84"/>
      <c r="E14" s="84"/>
      <c r="F14" s="84"/>
      <c r="G14" s="84"/>
    </row>
    <row r="15" spans="2:8" ht="15" customHeight="1" x14ac:dyDescent="0.35">
      <c r="B15" s="1" t="s">
        <v>2907</v>
      </c>
      <c r="C15" s="39">
        <v>10</v>
      </c>
      <c r="D15" s="39"/>
      <c r="E15" s="39"/>
      <c r="F15" s="39"/>
      <c r="G15" s="39"/>
    </row>
    <row r="16" spans="2:8" x14ac:dyDescent="0.35">
      <c r="B16" t="s">
        <v>2908</v>
      </c>
      <c r="C16">
        <v>7</v>
      </c>
    </row>
    <row r="17" spans="2:7" x14ac:dyDescent="0.35">
      <c r="B17" t="s">
        <v>2909</v>
      </c>
      <c r="C17">
        <v>3</v>
      </c>
    </row>
    <row r="18" spans="2:7" x14ac:dyDescent="0.35">
      <c r="B18" t="s">
        <v>2910</v>
      </c>
      <c r="C18">
        <v>5</v>
      </c>
    </row>
    <row r="19" spans="2:7" x14ac:dyDescent="0.35">
      <c r="B19" s="188" t="s">
        <v>2911</v>
      </c>
      <c r="C19">
        <f>SUM($C$6:C6)/$C$14+SUM($C$7:C7)/$C$15+SUM($C$8:C8)/$C$16+SUM($C$9:C9)/$C$17+SUM($C$10:C10)/$C$18</f>
        <v>544232059.03734016</v>
      </c>
      <c r="D19">
        <f>SUM($C$6:D6)/$C$14+SUM($C$7:D7)/$C$15+SUM($C$8:D8)/$C$16+SUM($C$9:D9)/$C$17+SUM($C$10:D10)/$C$18</f>
        <v>1778251978.6055784</v>
      </c>
      <c r="E19">
        <f>SUM($C$6:E6)/$C$14+SUM($C$7:E7)/$C$15+SUM($C$8:E8)/$C$16+SUM($C$9:E9)/$C$17+SUM($C$10:E10)/$C$18</f>
        <v>5224545074.4897537</v>
      </c>
      <c r="F19">
        <f>SUM($C$6:F6)/$C$14+SUM($C$7:F7)/$C$15+SUM($C$8:F8)/$C$16+SUM(D9:F9)/$C$17+SUM($C$10:F10)/$C$18</f>
        <v>10205055144.820993</v>
      </c>
      <c r="G19">
        <f>SUM($C$6:G6)/$C$14+SUM($C$7:G7)/$C$15+SUM($C$8:G8)/$C$16+SUM(E9:G9)/$C$17+SUM($C$10:G10)/$C$18</f>
        <v>16331972988.075666</v>
      </c>
    </row>
    <row r="20" spans="2:7" x14ac:dyDescent="0.35">
      <c r="B20" s="408" t="s">
        <v>4893</v>
      </c>
    </row>
    <row r="22" spans="2:7" x14ac:dyDescent="0.35">
      <c r="B22" s="353" t="s">
        <v>5174</v>
      </c>
    </row>
    <row r="23" spans="2:7" x14ac:dyDescent="0.35">
      <c r="B23" t="s">
        <v>5175</v>
      </c>
      <c r="C23" s="380">
        <f>RollUp!F110+RollUp!F111</f>
        <v>162487534.46400002</v>
      </c>
    </row>
    <row r="24" spans="2:7" x14ac:dyDescent="0.35">
      <c r="B24" t="s">
        <v>5176</v>
      </c>
      <c r="C24" s="402">
        <v>200000000</v>
      </c>
    </row>
    <row r="25" spans="2:7" x14ac:dyDescent="0.35">
      <c r="B25" t="s">
        <v>5177</v>
      </c>
      <c r="C25" s="402">
        <v>120000000</v>
      </c>
    </row>
    <row r="26" spans="2:7" x14ac:dyDescent="0.35">
      <c r="B26" t="s">
        <v>5178</v>
      </c>
      <c r="C26" s="402">
        <v>100000000</v>
      </c>
    </row>
    <row r="27" spans="2:7" x14ac:dyDescent="0.35">
      <c r="B27" t="s">
        <v>5179</v>
      </c>
      <c r="C27" s="402">
        <v>60000000</v>
      </c>
    </row>
    <row r="28" spans="2:7" x14ac:dyDescent="0.35">
      <c r="B28" t="s">
        <v>5180</v>
      </c>
      <c r="C28" s="402">
        <v>30000000</v>
      </c>
    </row>
    <row r="29" spans="2:7" x14ac:dyDescent="0.35">
      <c r="B29" t="s">
        <v>5181</v>
      </c>
      <c r="C29" s="380">
        <f>SUM(C23:C28)*0.19</f>
        <v>127772631.54816</v>
      </c>
    </row>
    <row r="30" spans="2:7" x14ac:dyDescent="0.35">
      <c r="B30" t="s">
        <v>5182</v>
      </c>
      <c r="C30" s="397">
        <f>SUM(C23:C29)</f>
        <v>800260166.01215994</v>
      </c>
    </row>
    <row r="32" spans="2:7" x14ac:dyDescent="0.35">
      <c r="B32" s="349" t="s">
        <v>5183</v>
      </c>
    </row>
    <row r="33" spans="2:3" x14ac:dyDescent="0.35">
      <c r="B33" t="s">
        <v>5184</v>
      </c>
      <c r="C33" s="380">
        <f>RollUp!F112</f>
        <v>48977422.200000003</v>
      </c>
    </row>
    <row r="34" spans="2:3" x14ac:dyDescent="0.35">
      <c r="B34" t="s">
        <v>5185</v>
      </c>
      <c r="C34" s="402">
        <v>80000000</v>
      </c>
    </row>
    <row r="35" spans="2:3" x14ac:dyDescent="0.35">
      <c r="B35" t="s">
        <v>5186</v>
      </c>
      <c r="C35" s="402">
        <v>50000000</v>
      </c>
    </row>
    <row r="36" spans="2:3" x14ac:dyDescent="0.35">
      <c r="B36" t="s">
        <v>5187</v>
      </c>
      <c r="C36" s="402">
        <v>40000000</v>
      </c>
    </row>
    <row r="37" spans="2:3" x14ac:dyDescent="0.35">
      <c r="B37" t="s">
        <v>5188</v>
      </c>
      <c r="C37" s="402">
        <v>20000000</v>
      </c>
    </row>
    <row r="38" spans="2:3" x14ac:dyDescent="0.35">
      <c r="B38" t="s">
        <v>5189</v>
      </c>
      <c r="C38" s="402">
        <v>15000000</v>
      </c>
    </row>
    <row r="39" spans="2:3" x14ac:dyDescent="0.35">
      <c r="B39" t="s">
        <v>5190</v>
      </c>
      <c r="C39" s="380">
        <f>SUM(C33:C38)*0.1</f>
        <v>25397742.219999999</v>
      </c>
    </row>
    <row r="40" spans="2:3" x14ac:dyDescent="0.35">
      <c r="B40" t="s">
        <v>5191</v>
      </c>
      <c r="C40" s="462">
        <f>SUM(C33:C39)</f>
        <v>279375164.41999996</v>
      </c>
    </row>
    <row r="42" spans="2:3" x14ac:dyDescent="0.35">
      <c r="B42" s="345" t="s">
        <v>5192</v>
      </c>
    </row>
    <row r="43" spans="2:3" x14ac:dyDescent="0.35">
      <c r="B43" t="s">
        <v>5193</v>
      </c>
      <c r="C43" s="402">
        <v>320000000</v>
      </c>
    </row>
    <row r="44" spans="2:3" x14ac:dyDescent="0.35">
      <c r="B44" t="s">
        <v>5194</v>
      </c>
      <c r="C44" s="402">
        <v>800000000</v>
      </c>
    </row>
    <row r="45" spans="2:3" x14ac:dyDescent="0.35">
      <c r="B45" t="s">
        <v>5195</v>
      </c>
      <c r="C45" s="402">
        <v>240000000</v>
      </c>
    </row>
    <row r="46" spans="2:3" x14ac:dyDescent="0.35">
      <c r="B46" t="s">
        <v>5196</v>
      </c>
      <c r="C46" s="402">
        <v>320000000</v>
      </c>
    </row>
    <row r="47" spans="2:3" x14ac:dyDescent="0.35">
      <c r="B47" t="s">
        <v>5197</v>
      </c>
      <c r="C47" s="402">
        <v>80000000</v>
      </c>
    </row>
    <row r="48" spans="2:3" x14ac:dyDescent="0.35">
      <c r="B48" t="s">
        <v>5198</v>
      </c>
      <c r="C48" s="402">
        <v>50000000</v>
      </c>
    </row>
    <row r="49" spans="2:3" x14ac:dyDescent="0.35">
      <c r="B49" t="s">
        <v>5199</v>
      </c>
      <c r="C49" s="402">
        <v>80000000</v>
      </c>
    </row>
    <row r="50" spans="2:3" x14ac:dyDescent="0.35">
      <c r="B50" t="s">
        <v>5200</v>
      </c>
      <c r="C50" s="463">
        <f>SUM(C43:C49)</f>
        <v>1890000000</v>
      </c>
    </row>
    <row r="51" spans="2:3" x14ac:dyDescent="0.35">
      <c r="B51" s="427" t="s">
        <v>5201</v>
      </c>
    </row>
    <row r="52" spans="2:3" x14ac:dyDescent="0.35">
      <c r="B52" s="408" t="s">
        <v>5202</v>
      </c>
    </row>
  </sheetData>
  <mergeCells count="3">
    <mergeCell ref="B1:H1"/>
    <mergeCell ref="B5:H5"/>
    <mergeCell ref="B13:H13"/>
  </mergeCells>
  <pageMargins left="0.75" right="0.75" top="1" bottom="1" header="0.511811023622047" footer="0.511811023622047"/>
  <pageSetup paperSize="9" orientation="portrait" horizontalDpi="300" verticalDpi="300"/>
  <legacy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4E79"/>
  </sheetPr>
  <dimension ref="A1:H48"/>
  <sheetViews>
    <sheetView zoomScaleNormal="100" workbookViewId="0">
      <pane xSplit="2" ySplit="4" topLeftCell="C5" activePane="bottomRight" state="frozen"/>
      <selection pane="topRight" activeCell="C1" sqref="C1"/>
      <selection pane="bottomLeft" activeCell="A5" sqref="A5"/>
      <selection pane="bottomRight" activeCell="D16" sqref="D16"/>
    </sheetView>
  </sheetViews>
  <sheetFormatPr defaultColWidth="8.54296875" defaultRowHeight="14.5" x14ac:dyDescent="0.35"/>
  <cols>
    <col min="1" max="1" width="3" customWidth="1"/>
    <col min="2" max="2" width="32" customWidth="1"/>
    <col min="3" max="8" width="16" customWidth="1"/>
  </cols>
  <sheetData>
    <row r="1" spans="2:8" ht="30" customHeight="1" x14ac:dyDescent="0.35">
      <c r="B1" s="487" t="s">
        <v>2912</v>
      </c>
      <c r="C1" s="487"/>
      <c r="D1" s="487"/>
      <c r="E1" s="487"/>
      <c r="F1" s="487"/>
      <c r="G1" s="487"/>
      <c r="H1" s="487"/>
    </row>
    <row r="3" spans="2:8" ht="15" customHeight="1" x14ac:dyDescent="0.35">
      <c r="C3" s="11" t="s">
        <v>12</v>
      </c>
      <c r="D3" s="11" t="s">
        <v>13</v>
      </c>
      <c r="E3" s="11" t="s">
        <v>14</v>
      </c>
      <c r="F3" s="11" t="s">
        <v>15</v>
      </c>
      <c r="G3" s="11" t="s">
        <v>16</v>
      </c>
      <c r="H3" s="11" t="s">
        <v>2913</v>
      </c>
    </row>
    <row r="5" spans="2:8" ht="15" customHeight="1" x14ac:dyDescent="0.35">
      <c r="B5" s="550" t="s">
        <v>2914</v>
      </c>
      <c r="C5" s="550"/>
      <c r="D5" s="550"/>
      <c r="E5" s="550"/>
      <c r="F5" s="550"/>
      <c r="G5" s="550"/>
      <c r="H5" s="550"/>
    </row>
    <row r="6" spans="2:8" ht="15" customHeight="1" x14ac:dyDescent="0.35">
      <c r="B6" t="s">
        <v>17</v>
      </c>
      <c r="C6" s="59">
        <f>'Revenue Model'!C50</f>
        <v>451723120</v>
      </c>
      <c r="D6" s="59">
        <f>'Revenue Model'!D50</f>
        <v>2980177280</v>
      </c>
      <c r="E6" s="59">
        <f>'Revenue Model'!E50</f>
        <v>14115223775.499996</v>
      </c>
      <c r="F6" s="59">
        <f>'Revenue Model'!F50</f>
        <v>34792138672.73999</v>
      </c>
      <c r="G6" s="59">
        <f>'Revenue Model'!G50</f>
        <v>63947557349.976234</v>
      </c>
    </row>
    <row r="7" spans="2:8" ht="15" customHeight="1" x14ac:dyDescent="0.35">
      <c r="B7" t="s">
        <v>2915</v>
      </c>
      <c r="C7" s="39">
        <f>-C41</f>
        <v>-628493078</v>
      </c>
      <c r="D7" s="39">
        <f>-D41</f>
        <v>-2711388504</v>
      </c>
      <c r="E7" s="39">
        <f>-E41</f>
        <v>-9271300954.3875008</v>
      </c>
      <c r="F7" s="39">
        <f>-F41</f>
        <v>-20183316762.818501</v>
      </c>
      <c r="G7" s="39">
        <f>-G41</f>
        <v>-35002388101.749405</v>
      </c>
    </row>
    <row r="8" spans="2:8" ht="15" customHeight="1" x14ac:dyDescent="0.35">
      <c r="B8" s="1" t="s">
        <v>18</v>
      </c>
      <c r="C8" s="59">
        <f>C6+C7</f>
        <v>-176769958</v>
      </c>
      <c r="D8" s="59">
        <f>D6+D7</f>
        <v>268788776</v>
      </c>
      <c r="E8" s="59">
        <f>E6+E7</f>
        <v>4843922821.1124954</v>
      </c>
      <c r="F8" s="59">
        <f>F6+F7</f>
        <v>14608821909.92149</v>
      </c>
      <c r="G8" s="59">
        <f>G6+G7</f>
        <v>28945169248.22683</v>
      </c>
    </row>
    <row r="9" spans="2:8" ht="15" customHeight="1" x14ac:dyDescent="0.35">
      <c r="B9" t="s">
        <v>2916</v>
      </c>
      <c r="C9" s="49">
        <f>IFERROR(C8/C6,0)</f>
        <v>-0.39132368960880282</v>
      </c>
      <c r="D9" s="49">
        <f>IFERROR(D8/D6,0)</f>
        <v>9.0192210310387974E-2</v>
      </c>
      <c r="E9" s="49">
        <f>IFERROR(E8/E6,0)</f>
        <v>0.34317010471489401</v>
      </c>
      <c r="F9" s="49">
        <f>IFERROR(F8/F6,0)</f>
        <v>0.41988858596288753</v>
      </c>
      <c r="G9" s="49">
        <f>IFERROR(G8/G6,0)</f>
        <v>0.45263916946528354</v>
      </c>
    </row>
    <row r="11" spans="2:8" ht="15" customHeight="1" x14ac:dyDescent="0.35">
      <c r="B11" s="550" t="s">
        <v>2917</v>
      </c>
      <c r="C11" s="550"/>
      <c r="D11" s="550"/>
      <c r="E11" s="550"/>
      <c r="F11" s="550"/>
      <c r="G11" s="550"/>
      <c r="H11" s="550"/>
    </row>
    <row r="12" spans="2:8" ht="15" customHeight="1" x14ac:dyDescent="0.35">
      <c r="B12" t="s">
        <v>2918</v>
      </c>
      <c r="C12" s="39">
        <f>-C6*C26</f>
        <v>-135516936</v>
      </c>
      <c r="D12" s="39">
        <f>-D6*D26</f>
        <v>-317597492.72960001</v>
      </c>
      <c r="E12" s="39">
        <f>-E6*E26</f>
        <v>-1332194819.9316897</v>
      </c>
      <c r="F12" s="39">
        <f>-F6*F26</f>
        <v>-2530780167.0551066</v>
      </c>
      <c r="G12" s="39">
        <f>-G6*G26</f>
        <v>-3834295538.7045751</v>
      </c>
    </row>
    <row r="13" spans="2:8" ht="15" customHeight="1" x14ac:dyDescent="0.35">
      <c r="B13" t="s">
        <v>2919</v>
      </c>
      <c r="C13" s="39">
        <f>-C6*C27</f>
        <v>-180689248</v>
      </c>
      <c r="D13" s="39">
        <f>-D6*D27</f>
        <v>-259841657.04320002</v>
      </c>
      <c r="E13" s="39">
        <f>-E6*E27</f>
        <v>-999075538.82988966</v>
      </c>
      <c r="F13" s="39">
        <f>-F6*F27</f>
        <v>-2108751524.9547708</v>
      </c>
      <c r="G13" s="39">
        <f>-G6*G27</f>
        <v>-3067564326.0783601</v>
      </c>
    </row>
    <row r="14" spans="2:8" ht="15" customHeight="1" x14ac:dyDescent="0.35">
      <c r="B14" t="s">
        <v>2920</v>
      </c>
      <c r="C14" s="39">
        <f>-C6*C28</f>
        <v>-180689248</v>
      </c>
      <c r="D14" s="39">
        <f>-D6*D28</f>
        <v>-360899468.60799998</v>
      </c>
      <c r="E14" s="39">
        <f>-E6*E28</f>
        <v>-1498613308.2448347</v>
      </c>
      <c r="F14" s="39">
        <f>-F6*F28</f>
        <v>-2530780167.0551066</v>
      </c>
      <c r="G14" s="39">
        <f>-G6*G28</f>
        <v>-3067564326.0783601</v>
      </c>
    </row>
    <row r="15" spans="2:8" ht="15" customHeight="1" x14ac:dyDescent="0.35">
      <c r="B15" s="75" t="s">
        <v>19</v>
      </c>
      <c r="C15" s="78">
        <f>C8+C12+C13+C14</f>
        <v>-673665390</v>
      </c>
      <c r="D15" s="78">
        <f>D8+D12+D13+D14</f>
        <v>-669549842.38080001</v>
      </c>
      <c r="E15" s="78">
        <f>E8+E12+E13+E14</f>
        <v>1014039154.1060812</v>
      </c>
      <c r="F15" s="78">
        <f>F8+F12+F13+F14</f>
        <v>7438510050.8565044</v>
      </c>
      <c r="G15" s="78">
        <f>G8+G12+G13+G14</f>
        <v>18975745057.365532</v>
      </c>
    </row>
    <row r="16" spans="2:8" ht="15" customHeight="1" x14ac:dyDescent="0.35">
      <c r="B16" t="s">
        <v>2921</v>
      </c>
      <c r="C16" s="79">
        <f>IFERROR(C15/C6,0)</f>
        <v>-1.4913236896088029</v>
      </c>
      <c r="D16" s="79">
        <f>IFERROR(D15/D6,0)</f>
        <v>-0.22466778968961201</v>
      </c>
      <c r="E16" s="79">
        <f>IFERROR(E15/E6,0)</f>
        <v>7.1840104714894007E-2</v>
      </c>
      <c r="F16" s="79">
        <f>IFERROR(F15/F6,0)</f>
        <v>0.21379858596288753</v>
      </c>
      <c r="G16" s="79">
        <f>IFERROR(G15/G6,0)</f>
        <v>0.2967391694652835</v>
      </c>
    </row>
    <row r="17" spans="2:8" ht="15" customHeight="1" x14ac:dyDescent="0.35">
      <c r="B17" t="s">
        <v>2922</v>
      </c>
      <c r="C17" s="39">
        <f>-'Capex Schedule'!C19</f>
        <v>-544232059.03734016</v>
      </c>
      <c r="D17" s="39">
        <f>-'Capex Schedule'!D19</f>
        <v>-1778251978.6055784</v>
      </c>
      <c r="E17" s="39">
        <f>-'Capex Schedule'!E19</f>
        <v>-5224545074.4897537</v>
      </c>
      <c r="F17" s="39">
        <f>-'Capex Schedule'!F19</f>
        <v>-10205055144.820993</v>
      </c>
      <c r="G17" s="39">
        <f>-'Capex Schedule'!G19</f>
        <v>-16331972988.075666</v>
      </c>
      <c r="H17" s="80" cm="1">
        <f t="array" ref="H17">IFERROR(MATCH(TRUE,INDEX(C15:G15&gt;0,0),0),"Not in 5yr")</f>
        <v>3</v>
      </c>
    </row>
    <row r="18" spans="2:8" ht="15" customHeight="1" x14ac:dyDescent="0.35">
      <c r="B18" t="s">
        <v>2923</v>
      </c>
      <c r="C18" s="59">
        <f>C15+C17</f>
        <v>-1217897449.0373402</v>
      </c>
      <c r="D18" s="59">
        <f>D15+D17</f>
        <v>-2447801820.9863787</v>
      </c>
      <c r="E18" s="59">
        <f>E15+E17</f>
        <v>-4210505920.3836727</v>
      </c>
      <c r="F18" s="59">
        <f>F15+F17</f>
        <v>-2766545093.964489</v>
      </c>
      <c r="G18" s="59">
        <f>G15+G17</f>
        <v>2643772069.2898655</v>
      </c>
    </row>
    <row r="19" spans="2:8" ht="15" customHeight="1" x14ac:dyDescent="0.35">
      <c r="B19" t="s">
        <v>2924</v>
      </c>
      <c r="C19" s="53">
        <f>0</f>
        <v>0</v>
      </c>
      <c r="D19" s="53">
        <f>-('Balance Sheet'!C19+'Balance Sheet'!C18)*D29</f>
        <v>0</v>
      </c>
      <c r="E19" s="53">
        <f>-('Balance Sheet'!D19+'Balance Sheet'!D18)*E29</f>
        <v>-200000000</v>
      </c>
      <c r="F19" s="53">
        <f>-('Balance Sheet'!E19+'Balance Sheet'!E18)*F29</f>
        <v>-700000000</v>
      </c>
      <c r="G19" s="53">
        <f>-('Balance Sheet'!F19+'Balance Sheet'!F18)*G29</f>
        <v>-1500000000</v>
      </c>
    </row>
    <row r="20" spans="2:8" ht="15" customHeight="1" x14ac:dyDescent="0.35">
      <c r="B20" t="s">
        <v>2925</v>
      </c>
      <c r="C20" s="39">
        <f>IF(C18+C19&gt;0,-(C18+C19)*TaxRate,0)</f>
        <v>0</v>
      </c>
      <c r="D20" s="39">
        <f>IF(D18+D19&gt;0,-(D18+D19)*TaxRate,0)</f>
        <v>0</v>
      </c>
      <c r="E20" s="39">
        <f>IF(E18+E19&gt;0,-(E18+E19)*TaxRate,0)</f>
        <v>0</v>
      </c>
      <c r="F20" s="39">
        <f>IF(F18+F19&gt;0,-(F18+F19)*TaxRate,0)</f>
        <v>0</v>
      </c>
      <c r="G20" s="39">
        <f>IF(G18+G19&gt;0,-(G18+G19)*TaxRate,0)</f>
        <v>-251629855.24377042</v>
      </c>
    </row>
    <row r="21" spans="2:8" ht="15" customHeight="1" x14ac:dyDescent="0.35">
      <c r="B21" s="75" t="s">
        <v>2926</v>
      </c>
      <c r="C21" s="78">
        <f>C18+C19+C20</f>
        <v>-1217897449.0373402</v>
      </c>
      <c r="D21" s="78">
        <f>D18+D19+D20</f>
        <v>-2447801820.9863787</v>
      </c>
      <c r="E21" s="78">
        <f>E18+E19+E20</f>
        <v>-4410505920.3836727</v>
      </c>
      <c r="F21" s="78">
        <f>F18+F19+F20</f>
        <v>-3466545093.964489</v>
      </c>
      <c r="G21" s="78">
        <f>G18+G19+G20</f>
        <v>892142214.04609513</v>
      </c>
    </row>
    <row r="22" spans="2:8" ht="15" customHeight="1" x14ac:dyDescent="0.35">
      <c r="B22" t="s">
        <v>2927</v>
      </c>
      <c r="C22" s="49">
        <f>IFERROR(C21/C6,0)</f>
        <v>-2.6961149321676077</v>
      </c>
      <c r="D22" s="49">
        <f>IFERROR(D21/D6,0)</f>
        <v>-0.82136114432305807</v>
      </c>
      <c r="E22" s="49">
        <f>IFERROR(E21/E6,0)</f>
        <v>-0.31246447031460128</v>
      </c>
      <c r="F22" s="49">
        <f>IFERROR(F21/F6,0)</f>
        <v>-9.9635872533485964E-2</v>
      </c>
      <c r="G22" s="49">
        <f>IFERROR(G21/G6,0)</f>
        <v>1.3951153898866267E-2</v>
      </c>
    </row>
    <row r="24" spans="2:8" x14ac:dyDescent="0.35">
      <c r="B24" s="189" t="s">
        <v>2928</v>
      </c>
    </row>
    <row r="25" spans="2:8" x14ac:dyDescent="0.35">
      <c r="B25" s="348" t="s">
        <v>4028</v>
      </c>
      <c r="C25" s="190">
        <f>C42</f>
        <v>1.3913236896088028</v>
      </c>
      <c r="D25" s="190">
        <f>D42</f>
        <v>0.90980778968961207</v>
      </c>
      <c r="E25" s="190">
        <f>E42</f>
        <v>0.65682989528510594</v>
      </c>
      <c r="F25" s="190">
        <f>F42</f>
        <v>0.58011141403711242</v>
      </c>
      <c r="G25" s="190">
        <f>G42</f>
        <v>0.54736083053471651</v>
      </c>
    </row>
    <row r="26" spans="2:8" x14ac:dyDescent="0.35">
      <c r="B26" s="346" t="s">
        <v>4029</v>
      </c>
      <c r="C26" s="190">
        <v>0.3</v>
      </c>
      <c r="D26" s="190">
        <v>0.10657</v>
      </c>
      <c r="E26" s="190">
        <v>9.4380000000000006E-2</v>
      </c>
      <c r="F26" s="190">
        <v>7.2739999999999999E-2</v>
      </c>
      <c r="G26" s="190">
        <v>5.9959999999999999E-2</v>
      </c>
    </row>
    <row r="27" spans="2:8" x14ac:dyDescent="0.35">
      <c r="B27" s="346" t="s">
        <v>4030</v>
      </c>
      <c r="C27" s="190">
        <v>0.4</v>
      </c>
      <c r="D27" s="190">
        <v>8.7190000000000004E-2</v>
      </c>
      <c r="E27" s="190">
        <v>7.0779999999999996E-2</v>
      </c>
      <c r="F27" s="190">
        <v>6.0609999999999997E-2</v>
      </c>
      <c r="G27" s="190">
        <v>4.7969999999999999E-2</v>
      </c>
    </row>
    <row r="28" spans="2:8" x14ac:dyDescent="0.35">
      <c r="B28" s="346" t="s">
        <v>4031</v>
      </c>
      <c r="C28" s="190">
        <v>0.4</v>
      </c>
      <c r="D28" s="190">
        <v>0.1211</v>
      </c>
      <c r="E28" s="190">
        <v>0.10617</v>
      </c>
      <c r="F28" s="190">
        <v>7.2739999999999999E-2</v>
      </c>
      <c r="G28" s="190">
        <v>4.7969999999999999E-2</v>
      </c>
    </row>
    <row r="29" spans="2:8" x14ac:dyDescent="0.35">
      <c r="B29" t="s">
        <v>2929</v>
      </c>
      <c r="C29" s="190">
        <v>0.1</v>
      </c>
      <c r="D29" s="191">
        <f>C29</f>
        <v>0.1</v>
      </c>
      <c r="E29" s="191">
        <f>D29</f>
        <v>0.1</v>
      </c>
      <c r="F29" s="191">
        <f>E29</f>
        <v>0.1</v>
      </c>
      <c r="G29" s="191">
        <f>F29</f>
        <v>0.1</v>
      </c>
    </row>
    <row r="31" spans="2:8" x14ac:dyDescent="0.35">
      <c r="B31" s="345" t="s">
        <v>4018</v>
      </c>
    </row>
    <row r="32" spans="2:8" x14ac:dyDescent="0.35">
      <c r="B32" t="s">
        <v>4019</v>
      </c>
      <c r="C32">
        <f>'Operational KPI'!C6</f>
        <v>2</v>
      </c>
      <c r="D32">
        <f>'Operational KPI'!D6</f>
        <v>8</v>
      </c>
      <c r="E32">
        <f>'Operational KPI'!E6</f>
        <v>25</v>
      </c>
      <c r="F32">
        <f>'Operational KPI'!F6</f>
        <v>50</v>
      </c>
      <c r="G32">
        <f>'Operational KPI'!G6</f>
        <v>80</v>
      </c>
    </row>
    <row r="33" spans="1:7" x14ac:dyDescent="0.35">
      <c r="B33" t="s">
        <v>4020</v>
      </c>
      <c r="C33">
        <f>CHOOSE(ScenIdx,'Swap Hub Econ'!C15,'Swap Hub Econ'!D15,'Swap Hub Econ'!E15)*12</f>
        <v>273600000</v>
      </c>
      <c r="D33">
        <f>CHOOSE(ScenIdx,'Swap Hub Econ'!C15,'Swap Hub Econ'!D15,'Swap Hub Econ'!E15)*12</f>
        <v>273600000</v>
      </c>
      <c r="E33">
        <f>CHOOSE(ScenIdx,'Swap Hub Econ'!C15,'Swap Hub Econ'!D15,'Swap Hub Econ'!E15)*12</f>
        <v>273600000</v>
      </c>
      <c r="F33">
        <f>CHOOSE(ScenIdx,'Swap Hub Econ'!C15,'Swap Hub Econ'!D15,'Swap Hub Econ'!E15)*12</f>
        <v>273600000</v>
      </c>
      <c r="G33">
        <f>CHOOSE(ScenIdx,'Swap Hub Econ'!C15,'Swap Hub Econ'!D15,'Swap Hub Econ'!E15)*12</f>
        <v>273600000</v>
      </c>
    </row>
    <row r="34" spans="1:7" x14ac:dyDescent="0.35">
      <c r="B34" t="s">
        <v>4021</v>
      </c>
      <c r="C34">
        <f>C32*C33</f>
        <v>547200000</v>
      </c>
      <c r="D34">
        <f>D32*D33</f>
        <v>2188800000</v>
      </c>
      <c r="E34">
        <f>E32*E33</f>
        <v>6840000000</v>
      </c>
      <c r="F34">
        <f>F32*F33</f>
        <v>13680000000</v>
      </c>
      <c r="G34">
        <f>G32*G33</f>
        <v>21888000000</v>
      </c>
    </row>
    <row r="35" spans="1:7" x14ac:dyDescent="0.35">
      <c r="B35" t="s">
        <v>1472</v>
      </c>
      <c r="C35">
        <f>'Operational KPI'!C7</f>
        <v>1</v>
      </c>
      <c r="D35">
        <f>'Operational KPI'!D7</f>
        <v>4</v>
      </c>
      <c r="E35">
        <f>'Operational KPI'!E7</f>
        <v>18</v>
      </c>
      <c r="F35">
        <f>'Operational KPI'!F7</f>
        <v>38</v>
      </c>
      <c r="G35">
        <f>'Operational KPI'!G7</f>
        <v>60</v>
      </c>
    </row>
    <row r="36" spans="1:7" x14ac:dyDescent="0.35">
      <c r="B36" t="s">
        <v>4022</v>
      </c>
      <c r="C36">
        <f>CHOOSE(ScenIdx,'Microgrid Econ'!C15,'Microgrid Econ'!D15,'Microgrid Econ'!E15)*12</f>
        <v>66000000</v>
      </c>
      <c r="D36">
        <f>CHOOSE(ScenIdx,'Microgrid Econ'!C15,'Microgrid Econ'!D15,'Microgrid Econ'!E15)*12</f>
        <v>66000000</v>
      </c>
      <c r="E36">
        <f>CHOOSE(ScenIdx,'Microgrid Econ'!C15,'Microgrid Econ'!D15,'Microgrid Econ'!E15)*12</f>
        <v>66000000</v>
      </c>
      <c r="F36">
        <f>CHOOSE(ScenIdx,'Microgrid Econ'!C15,'Microgrid Econ'!D15,'Microgrid Econ'!E15)*12</f>
        <v>66000000</v>
      </c>
      <c r="G36">
        <f>CHOOSE(ScenIdx,'Microgrid Econ'!C15,'Microgrid Econ'!D15,'Microgrid Econ'!E15)*12</f>
        <v>66000000</v>
      </c>
    </row>
    <row r="37" spans="1:7" x14ac:dyDescent="0.35">
      <c r="B37" t="s">
        <v>4023</v>
      </c>
      <c r="C37">
        <f>C35*C36</f>
        <v>66000000</v>
      </c>
      <c r="D37">
        <f>D35*D36</f>
        <v>264000000</v>
      </c>
      <c r="E37">
        <f>E35*E36</f>
        <v>1188000000</v>
      </c>
      <c r="F37">
        <f>F35*F36</f>
        <v>2508000000</v>
      </c>
      <c r="G37">
        <f>G35*G36</f>
        <v>3960000000</v>
      </c>
    </row>
    <row r="38" spans="1:7" x14ac:dyDescent="0.35">
      <c r="B38" t="s">
        <v>4024</v>
      </c>
      <c r="C38" s="188">
        <f>C34+C37</f>
        <v>613200000</v>
      </c>
      <c r="D38" s="188">
        <f>D34+D37</f>
        <v>2452800000</v>
      </c>
      <c r="E38" s="188">
        <f>E34+E37</f>
        <v>8028000000</v>
      </c>
      <c r="F38" s="188">
        <f>F34+F37</f>
        <v>16188000000</v>
      </c>
      <c r="G38" s="188">
        <f>G34+G37</f>
        <v>25848000000</v>
      </c>
    </row>
    <row r="39" spans="1:7" x14ac:dyDescent="0.35">
      <c r="B39" t="s">
        <v>4025</v>
      </c>
      <c r="C39" cm="1">
        <f t="array" ref="C39">IF(COLUMN()-2&lt;=1, 0, INDEX(BatteriesRow,1,COLUMN()-3)*$B$45*$B$46)</f>
        <v>0</v>
      </c>
      <c r="D39" cm="1">
        <f t="array" ref="D39">IF(COLUMN()-2&lt;=1, 0, INDEX(BatteriesRow,1,COLUMN()-3)*$B$45*$B$46)</f>
        <v>168084072</v>
      </c>
      <c r="E39" cm="1">
        <f t="array" ref="E39">IF(COLUMN()-2&lt;=1, 0, INDEX(BatteriesRow,1,COLUMN()-3)*$B$45*$B$46)</f>
        <v>840420360</v>
      </c>
      <c r="F39" cm="1">
        <f t="array" ref="F39">IF(COLUMN()-2&lt;=1, 0, INDEX(BatteriesRow,1,COLUMN()-3)*$B$45*$B$46)</f>
        <v>3025513296</v>
      </c>
      <c r="G39" cm="1">
        <f t="array" ref="G39">IF(COLUMN()-2&lt;=1, 0, INDEX(BatteriesRow,1,COLUMN()-3)*$B$45*$B$46)</f>
        <v>7395699168</v>
      </c>
    </row>
    <row r="40" spans="1:7" x14ac:dyDescent="0.35">
      <c r="B40" t="s">
        <v>4909</v>
      </c>
      <c r="C40">
        <f>C6*$B$47+C32*$B$48</f>
        <v>15293078</v>
      </c>
      <c r="D40">
        <f>D6*$B$47+D32*$B$48</f>
        <v>90504432</v>
      </c>
      <c r="E40">
        <f>E6*$B$47+E32*$B$48</f>
        <v>402880594.38749993</v>
      </c>
      <c r="F40">
        <f>F6*$B$47+F32*$B$48</f>
        <v>969803466.8184998</v>
      </c>
      <c r="G40">
        <f>G6*$B$47+G32*$B$48</f>
        <v>1758688933.7494059</v>
      </c>
    </row>
    <row r="41" spans="1:7" x14ac:dyDescent="0.35">
      <c r="B41" s="188" t="s">
        <v>4026</v>
      </c>
      <c r="C41" s="345">
        <f>C38+C39+C40</f>
        <v>628493078</v>
      </c>
      <c r="D41" s="345">
        <f>D38+D39+D40</f>
        <v>2711388504</v>
      </c>
      <c r="E41" s="345">
        <f>E38+E39+E40</f>
        <v>9271300954.3875008</v>
      </c>
      <c r="F41" s="345">
        <f>F38+F39+F40</f>
        <v>20183316762.818501</v>
      </c>
      <c r="G41" s="345">
        <f>G38+G39+G40</f>
        <v>35002388101.749405</v>
      </c>
    </row>
    <row r="42" spans="1:7" x14ac:dyDescent="0.35">
      <c r="B42" s="346" t="s">
        <v>4027</v>
      </c>
      <c r="C42" s="347">
        <f>IFERROR(C41/C6,0)</f>
        <v>1.3913236896088028</v>
      </c>
      <c r="D42" s="347">
        <f>IFERROR(D41/D6,0)</f>
        <v>0.90980778968961207</v>
      </c>
      <c r="E42" s="347">
        <f>IFERROR(E41/E6,0)</f>
        <v>0.65682989528510594</v>
      </c>
      <c r="F42" s="347">
        <f>IFERROR(F41/F6,0)</f>
        <v>0.58011141403711242</v>
      </c>
      <c r="G42" s="347">
        <f>IFERROR(G41/G6,0)</f>
        <v>0.54736083053471651</v>
      </c>
    </row>
    <row r="44" spans="1:7" x14ac:dyDescent="0.35">
      <c r="A44" s="349" t="s">
        <v>4825</v>
      </c>
    </row>
    <row r="45" spans="1:7" x14ac:dyDescent="0.35">
      <c r="A45" t="s">
        <v>4826</v>
      </c>
      <c r="B45">
        <v>0.5</v>
      </c>
      <c r="C45">
        <v>0.5</v>
      </c>
    </row>
    <row r="46" spans="1:7" x14ac:dyDescent="0.35">
      <c r="A46" t="s">
        <v>4827</v>
      </c>
      <c r="B46">
        <f>RollUp!E63</f>
        <v>6723362.8799999999</v>
      </c>
      <c r="C46">
        <f>RollUp!E63</f>
        <v>6723362.8799999999</v>
      </c>
    </row>
    <row r="47" spans="1:7" x14ac:dyDescent="0.35">
      <c r="A47" t="s">
        <v>4910</v>
      </c>
      <c r="B47" s="190">
        <v>2.5000000000000001E-2</v>
      </c>
    </row>
    <row r="48" spans="1:7" x14ac:dyDescent="0.35">
      <c r="A48" t="s">
        <v>4911</v>
      </c>
      <c r="B48" s="402">
        <v>2000000</v>
      </c>
    </row>
  </sheetData>
  <mergeCells count="3">
    <mergeCell ref="B1:H1"/>
    <mergeCell ref="B5:H5"/>
    <mergeCell ref="B11:H11"/>
  </mergeCells>
  <pageMargins left="0.75" right="0.75" top="1" bottom="1" header="0.511811023622047" footer="0.511811023622047"/>
  <pageSetup paperSize="9" orientation="portrait" horizontalDpi="300" verticalDpi="300"/>
  <legacy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4E79"/>
  </sheetPr>
  <dimension ref="B1:G22"/>
  <sheetViews>
    <sheetView zoomScaleNormal="100" workbookViewId="0">
      <pane xSplit="2" ySplit="4" topLeftCell="C5" activePane="bottomRight" state="frozen"/>
      <selection pane="topRight" activeCell="C1" sqref="C1"/>
      <selection pane="bottomLeft" activeCell="A5" sqref="A5"/>
      <selection pane="bottomRight" activeCell="I16" sqref="I16"/>
    </sheetView>
  </sheetViews>
  <sheetFormatPr defaultColWidth="8.54296875" defaultRowHeight="14.5" x14ac:dyDescent="0.35"/>
  <cols>
    <col min="1" max="1" width="3" customWidth="1"/>
    <col min="2" max="2" width="32" customWidth="1"/>
    <col min="3" max="7" width="16" customWidth="1"/>
  </cols>
  <sheetData>
    <row r="1" spans="2:7" ht="30" customHeight="1" x14ac:dyDescent="0.35">
      <c r="B1" s="487" t="s">
        <v>2930</v>
      </c>
      <c r="C1" s="487"/>
      <c r="D1" s="487"/>
      <c r="E1" s="487"/>
      <c r="F1" s="487"/>
      <c r="G1" s="487"/>
    </row>
    <row r="3" spans="2:7" ht="15" customHeight="1" x14ac:dyDescent="0.35">
      <c r="C3" s="11" t="s">
        <v>12</v>
      </c>
      <c r="D3" s="11" t="s">
        <v>13</v>
      </c>
      <c r="E3" s="11" t="s">
        <v>14</v>
      </c>
      <c r="F3" s="11" t="s">
        <v>15</v>
      </c>
      <c r="G3" s="11" t="s">
        <v>16</v>
      </c>
    </row>
    <row r="5" spans="2:7" ht="15" customHeight="1" x14ac:dyDescent="0.35">
      <c r="B5" s="550" t="s">
        <v>2931</v>
      </c>
      <c r="C5" s="550"/>
      <c r="D5" s="550"/>
      <c r="E5" s="550"/>
      <c r="F5" s="550"/>
      <c r="G5" s="550"/>
    </row>
    <row r="6" spans="2:7" ht="15" customHeight="1" x14ac:dyDescent="0.35">
      <c r="B6" t="s">
        <v>21</v>
      </c>
      <c r="C6" s="12">
        <f>'P&amp;L'!C21</f>
        <v>-1217897449.0373402</v>
      </c>
      <c r="D6" s="12">
        <f>'P&amp;L'!D21</f>
        <v>-2447801820.9863787</v>
      </c>
      <c r="E6" s="12">
        <f>'P&amp;L'!E21</f>
        <v>-4410505920.3836727</v>
      </c>
      <c r="F6" s="12">
        <f>'P&amp;L'!F21</f>
        <v>-3466545093.964489</v>
      </c>
      <c r="G6" s="12">
        <f>'P&amp;L'!G21</f>
        <v>892142214.04609513</v>
      </c>
    </row>
    <row r="7" spans="2:7" ht="15" customHeight="1" x14ac:dyDescent="0.35">
      <c r="B7" t="s">
        <v>2932</v>
      </c>
      <c r="C7" s="12">
        <f>-'P&amp;L'!C17</f>
        <v>544232059.03734016</v>
      </c>
      <c r="D7" s="12">
        <f>-'P&amp;L'!D17</f>
        <v>1778251978.6055784</v>
      </c>
      <c r="E7" s="12">
        <f>-'P&amp;L'!E17</f>
        <v>5224545074.4897537</v>
      </c>
      <c r="F7" s="12">
        <f>-'P&amp;L'!F17</f>
        <v>10205055144.820993</v>
      </c>
      <c r="G7" s="12">
        <f>-'P&amp;L'!G17</f>
        <v>16331972988.075666</v>
      </c>
    </row>
    <row r="8" spans="2:7" ht="15" customHeight="1" x14ac:dyDescent="0.35">
      <c r="B8" t="s">
        <v>2933</v>
      </c>
      <c r="C8" s="53">
        <f>-(('Balance Sheet'!C7+'Balance Sheet'!C8-'Balance Sheet'!C17)-0)</f>
        <v>-196770407.36986303</v>
      </c>
      <c r="D8" s="53">
        <f>-(('Balance Sheet'!D7+'Balance Sheet'!D8-'Balance Sheet'!D17)-('Balance Sheet'!C7+'Balance Sheet'!C8-'Balance Sheet'!C17))</f>
        <v>-758840973.78082192</v>
      </c>
      <c r="E8" s="53">
        <f>-(('Balance Sheet'!E7+'Balance Sheet'!E8-'Balance Sheet'!E17)-('Balance Sheet'!D7+'Balance Sheet'!D8-'Balance Sheet'!D17))</f>
        <v>-2021662272.5001707</v>
      </c>
      <c r="F8" s="53">
        <f>-(('Balance Sheet'!F7+'Balance Sheet'!F8-'Balance Sheet'!F17)-('Balance Sheet'!E7+'Balance Sheet'!E8-'Balance Sheet'!E17))</f>
        <v>-3253627897.1369996</v>
      </c>
      <c r="G8" s="53">
        <f>-(('Balance Sheet'!G7+'Balance Sheet'!G8-'Balance Sheet'!G17)-('Balance Sheet'!F7+'Balance Sheet'!F8-'Balance Sheet'!F17))</f>
        <v>-4165662768.1706409</v>
      </c>
    </row>
    <row r="9" spans="2:7" ht="15" customHeight="1" x14ac:dyDescent="0.35">
      <c r="B9" s="1" t="s">
        <v>2934</v>
      </c>
      <c r="C9" s="59">
        <f>C6+C7+C8</f>
        <v>-870435797.36986303</v>
      </c>
      <c r="D9" s="59">
        <f>D6+D7+D8</f>
        <v>-1428390816.161622</v>
      </c>
      <c r="E9" s="59">
        <f>E6+E7+E8</f>
        <v>-1207623118.3940897</v>
      </c>
      <c r="F9" s="59">
        <f>F6+F7+F8</f>
        <v>3484882153.7195048</v>
      </c>
      <c r="G9" s="59">
        <f>G6+G7+G8</f>
        <v>13058452433.95112</v>
      </c>
    </row>
    <row r="11" spans="2:7" ht="15" customHeight="1" x14ac:dyDescent="0.35">
      <c r="B11" s="550" t="s">
        <v>2935</v>
      </c>
      <c r="C11" s="550"/>
      <c r="D11" s="550"/>
      <c r="E11" s="550"/>
      <c r="F11" s="550"/>
      <c r="G11" s="550"/>
    </row>
    <row r="12" spans="2:7" ht="15" customHeight="1" x14ac:dyDescent="0.35">
      <c r="B12" t="s">
        <v>2936</v>
      </c>
      <c r="C12" s="12">
        <f>-'Capex Schedule'!C11</f>
        <v>-2679895496.4443197</v>
      </c>
      <c r="D12" s="12">
        <f>-'Capex Schedule'!D11</f>
        <v>-6458877084.012949</v>
      </c>
      <c r="E12" s="12">
        <f>-'Capex Schedule'!E11</f>
        <v>-19182379739.143597</v>
      </c>
      <c r="F12" s="12">
        <f>-'Capex Schedule'!F11</f>
        <v>-28517262966.472702</v>
      </c>
      <c r="G12" s="12">
        <f>-'Capex Schedule'!G11</f>
        <v>-34488658608.860443</v>
      </c>
    </row>
    <row r="13" spans="2:7" ht="15" customHeight="1" x14ac:dyDescent="0.35">
      <c r="B13" s="1" t="s">
        <v>2937</v>
      </c>
      <c r="C13" s="59">
        <f>C12+C14</f>
        <v>-2879895496.4443197</v>
      </c>
      <c r="D13" s="59">
        <f>D12+D14</f>
        <v>-6758877084.012949</v>
      </c>
      <c r="E13" s="59">
        <f>E12+E14</f>
        <v>-19582379739.143597</v>
      </c>
      <c r="F13" s="59">
        <f>F12+F14</f>
        <v>-28917262966.472702</v>
      </c>
      <c r="G13" s="59">
        <f>G12+G14</f>
        <v>-34788658608.860443</v>
      </c>
    </row>
    <row r="14" spans="2:7" x14ac:dyDescent="0.35">
      <c r="B14" s="187" t="s">
        <v>2938</v>
      </c>
      <c r="C14">
        <f>-('Balance Sheet'!C13-0)</f>
        <v>-200000000</v>
      </c>
      <c r="D14">
        <f>-('Balance Sheet'!D13-'Balance Sheet'!C13)</f>
        <v>-300000000</v>
      </c>
      <c r="E14">
        <f>-('Balance Sheet'!E13-'Balance Sheet'!D13)</f>
        <v>-400000000</v>
      </c>
      <c r="F14">
        <f>-('Balance Sheet'!F13-'Balance Sheet'!E13)</f>
        <v>-400000000</v>
      </c>
      <c r="G14">
        <f>-('Balance Sheet'!G13-'Balance Sheet'!F13)</f>
        <v>-300000000</v>
      </c>
    </row>
    <row r="15" spans="2:7" ht="15" customHeight="1" x14ac:dyDescent="0.35">
      <c r="B15" s="550" t="s">
        <v>2939</v>
      </c>
      <c r="C15" s="550"/>
      <c r="D15" s="550"/>
      <c r="E15" s="550"/>
      <c r="F15" s="550"/>
      <c r="G15" s="550"/>
    </row>
    <row r="16" spans="2:7" ht="15" customHeight="1" x14ac:dyDescent="0.35">
      <c r="B16" t="s">
        <v>2940</v>
      </c>
      <c r="C16" s="53">
        <f>Funding_Plan!C20</f>
        <v>7000000000</v>
      </c>
      <c r="D16" s="53">
        <f>Funding_Plan!D20</f>
        <v>7500000000</v>
      </c>
      <c r="E16" s="53">
        <f>Funding_Plan!E20</f>
        <v>20000000000</v>
      </c>
      <c r="F16" s="53">
        <f>Funding_Plan!F20</f>
        <v>30000000000</v>
      </c>
      <c r="G16" s="53">
        <f>Funding_Plan!G20</f>
        <v>6000000000</v>
      </c>
    </row>
    <row r="17" spans="2:7" ht="15" customHeight="1" x14ac:dyDescent="0.35">
      <c r="B17" t="s">
        <v>2941</v>
      </c>
      <c r="C17" s="53">
        <f>Funding_Plan!C21</f>
        <v>0</v>
      </c>
      <c r="D17" s="53">
        <f>Funding_Plan!D21</f>
        <v>2000000000</v>
      </c>
      <c r="E17" s="53">
        <f>Funding_Plan!E21</f>
        <v>5000000000</v>
      </c>
      <c r="F17" s="53">
        <f>Funding_Plan!F21</f>
        <v>8000000000</v>
      </c>
      <c r="G17" s="53">
        <f>Funding_Plan!G21</f>
        <v>14500000000</v>
      </c>
    </row>
    <row r="18" spans="2:7" ht="15" customHeight="1" x14ac:dyDescent="0.35">
      <c r="B18" s="1" t="s">
        <v>2942</v>
      </c>
      <c r="C18" s="59">
        <f>C16+C17</f>
        <v>7000000000</v>
      </c>
      <c r="D18" s="59">
        <f>D16+D17</f>
        <v>9500000000</v>
      </c>
      <c r="E18" s="59">
        <f>E16+E17</f>
        <v>25000000000</v>
      </c>
      <c r="F18" s="59">
        <f>F16+F17</f>
        <v>38000000000</v>
      </c>
      <c r="G18" s="59">
        <f>G16+G17</f>
        <v>20500000000</v>
      </c>
    </row>
    <row r="20" spans="2:7" ht="15" customHeight="1" x14ac:dyDescent="0.35">
      <c r="B20" s="46" t="s">
        <v>2943</v>
      </c>
      <c r="C20" s="61">
        <f>C9+C13+C18</f>
        <v>3249668706.1858172</v>
      </c>
      <c r="D20" s="61">
        <f>D9+D13+D18</f>
        <v>1312732099.825429</v>
      </c>
      <c r="E20" s="61">
        <f>E9+E13+E18</f>
        <v>4209997142.4623146</v>
      </c>
      <c r="F20" s="61">
        <f>F9+F13+F18</f>
        <v>12567619187.246803</v>
      </c>
      <c r="G20" s="61">
        <f>G9+G13+G18</f>
        <v>-1230206174.9093246</v>
      </c>
    </row>
    <row r="21" spans="2:7" ht="15" customHeight="1" x14ac:dyDescent="0.35">
      <c r="B21" t="s">
        <v>2944</v>
      </c>
      <c r="C21" s="53">
        <v>0</v>
      </c>
      <c r="D21" s="39">
        <f>C22</f>
        <v>3249668706.1858172</v>
      </c>
      <c r="E21" s="39">
        <f>D22</f>
        <v>4562400806.0112457</v>
      </c>
      <c r="F21" s="39">
        <f>E22</f>
        <v>8772397948.4735603</v>
      </c>
      <c r="G21" s="39">
        <f>F22</f>
        <v>21340017135.720364</v>
      </c>
    </row>
    <row r="22" spans="2:7" ht="15" customHeight="1" x14ac:dyDescent="0.35">
      <c r="B22" s="1" t="s">
        <v>2945</v>
      </c>
      <c r="C22" s="81">
        <f>C20+C21</f>
        <v>3249668706.1858172</v>
      </c>
      <c r="D22" s="81">
        <f>D20+D21</f>
        <v>4562400806.0112457</v>
      </c>
      <c r="E22" s="81">
        <f>E20+E21</f>
        <v>8772397948.4735603</v>
      </c>
      <c r="F22" s="81">
        <f>F20+F21</f>
        <v>21340017135.720364</v>
      </c>
      <c r="G22" s="81">
        <f>G20+G21</f>
        <v>20109810960.811039</v>
      </c>
    </row>
  </sheetData>
  <mergeCells count="4">
    <mergeCell ref="B1:G1"/>
    <mergeCell ref="B5:G5"/>
    <mergeCell ref="B11:G11"/>
    <mergeCell ref="B15:G15"/>
  </mergeCells>
  <pageMargins left="0.75" right="0.75" top="1" bottom="1" header="0.511811023622047" footer="0.511811023622047"/>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4E79"/>
  </sheetPr>
  <dimension ref="B1:G26"/>
  <sheetViews>
    <sheetView zoomScaleNormal="100" workbookViewId="0">
      <pane xSplit="2" ySplit="4" topLeftCell="C5" activePane="bottomRight" state="frozen"/>
      <selection pane="topRight" activeCell="C1" sqref="C1"/>
      <selection pane="bottomLeft" activeCell="A5" sqref="A5"/>
      <selection pane="bottomRight" activeCell="C6" sqref="C6"/>
    </sheetView>
  </sheetViews>
  <sheetFormatPr defaultColWidth="8.54296875" defaultRowHeight="14.5" x14ac:dyDescent="0.35"/>
  <cols>
    <col min="1" max="1" width="3" customWidth="1"/>
    <col min="2" max="2" width="32" customWidth="1"/>
    <col min="3" max="7" width="16" customWidth="1"/>
  </cols>
  <sheetData>
    <row r="1" spans="2:7" ht="30" customHeight="1" x14ac:dyDescent="0.35">
      <c r="B1" s="487" t="s">
        <v>2946</v>
      </c>
      <c r="C1" s="487"/>
      <c r="D1" s="487"/>
      <c r="E1" s="487"/>
      <c r="F1" s="487"/>
      <c r="G1" s="487"/>
    </row>
    <row r="3" spans="2:7" ht="15" customHeight="1" x14ac:dyDescent="0.35">
      <c r="C3" s="11" t="s">
        <v>12</v>
      </c>
      <c r="D3" s="11" t="s">
        <v>13</v>
      </c>
      <c r="E3" s="11" t="s">
        <v>14</v>
      </c>
      <c r="F3" s="11" t="s">
        <v>15</v>
      </c>
      <c r="G3" s="11" t="s">
        <v>16</v>
      </c>
    </row>
    <row r="5" spans="2:7" ht="15" customHeight="1" x14ac:dyDescent="0.35">
      <c r="B5" s="550" t="s">
        <v>2947</v>
      </c>
      <c r="C5" s="550"/>
      <c r="D5" s="550"/>
      <c r="E5" s="550"/>
      <c r="F5" s="550"/>
      <c r="G5" s="550"/>
    </row>
    <row r="6" spans="2:7" ht="15" customHeight="1" x14ac:dyDescent="0.35">
      <c r="B6" t="s">
        <v>2948</v>
      </c>
      <c r="C6" s="12">
        <f>'Cash Flow'!C22</f>
        <v>3249668706.1858172</v>
      </c>
      <c r="D6" s="12">
        <f>'Cash Flow'!D22</f>
        <v>4562400806.0112457</v>
      </c>
      <c r="E6" s="12">
        <f>'Cash Flow'!E22</f>
        <v>8772397948.4735603</v>
      </c>
      <c r="F6" s="12">
        <f>'Cash Flow'!F22</f>
        <v>21340017135.720364</v>
      </c>
      <c r="G6" s="12">
        <f>'Cash Flow'!G22</f>
        <v>20109810960.811039</v>
      </c>
    </row>
    <row r="7" spans="2:7" ht="15" customHeight="1" x14ac:dyDescent="0.35">
      <c r="B7" t="s">
        <v>2949</v>
      </c>
      <c r="C7" s="12">
        <f>'P&amp;L'!C6*60/365</f>
        <v>74255855.342465758</v>
      </c>
      <c r="D7" s="12">
        <f>'P&amp;L'!D6*60/365</f>
        <v>489892155.61643833</v>
      </c>
      <c r="E7" s="12">
        <f>'P&amp;L'!E6*60/365</f>
        <v>2320310757.6164379</v>
      </c>
      <c r="F7" s="12">
        <f>'P&amp;L'!F6*60/365</f>
        <v>5719255672.2312317</v>
      </c>
      <c r="G7" s="12">
        <f>'P&amp;L'!G6*60/365</f>
        <v>10511927235.612532</v>
      </c>
    </row>
    <row r="8" spans="2:7" ht="15" customHeight="1" x14ac:dyDescent="0.35">
      <c r="B8" t="s">
        <v>2950</v>
      </c>
      <c r="C8" s="53">
        <v>200000000</v>
      </c>
      <c r="D8" s="53">
        <v>800000000</v>
      </c>
      <c r="E8" s="53">
        <v>1800000000</v>
      </c>
      <c r="F8" s="53">
        <v>3000000000</v>
      </c>
      <c r="G8" s="53">
        <v>4200000000</v>
      </c>
    </row>
    <row r="9" spans="2:7" ht="15" customHeight="1" x14ac:dyDescent="0.35">
      <c r="B9" s="1" t="s">
        <v>2951</v>
      </c>
      <c r="C9" s="59">
        <f>SUM(C6:C8)</f>
        <v>3523924561.5282831</v>
      </c>
      <c r="D9" s="59">
        <f>SUM(D6:D8)</f>
        <v>5852292961.6276836</v>
      </c>
      <c r="E9" s="59">
        <f>SUM(E6:E8)</f>
        <v>12892708706.089998</v>
      </c>
      <c r="F9" s="59">
        <f>SUM(F6:F8)</f>
        <v>30059272807.951595</v>
      </c>
      <c r="G9" s="59">
        <f>SUM(G6:G8)</f>
        <v>34821738196.423569</v>
      </c>
    </row>
    <row r="10" spans="2:7" ht="15" customHeight="1" x14ac:dyDescent="0.35">
      <c r="B10" t="s">
        <v>2952</v>
      </c>
      <c r="C10" s="12">
        <f>SUM('Capex Schedule'!$C$11:C11)</f>
        <v>2679895496.4443197</v>
      </c>
      <c r="D10" s="12">
        <f>SUM('Capex Schedule'!$C$11:D11)</f>
        <v>9138772580.4572678</v>
      </c>
      <c r="E10" s="12">
        <f>SUM('Capex Schedule'!$C$11:E11)</f>
        <v>28321152319.600864</v>
      </c>
      <c r="F10" s="12">
        <f>SUM('Capex Schedule'!$C$11:F11)</f>
        <v>56838415286.073563</v>
      </c>
      <c r="G10" s="12">
        <f>SUM('Capex Schedule'!$C$11:G11)</f>
        <v>91327073894.934006</v>
      </c>
    </row>
    <row r="11" spans="2:7" ht="15" customHeight="1" x14ac:dyDescent="0.35">
      <c r="B11" t="s">
        <v>2953</v>
      </c>
      <c r="C11" s="12">
        <f>SUMIF('P&amp;L'!$C$17:C17,"&lt;0")*-1</f>
        <v>544232059.03734016</v>
      </c>
      <c r="D11" s="12">
        <f>SUMIF('P&amp;L'!$C$17:D17,"&lt;0")*-1</f>
        <v>2322484037.6429186</v>
      </c>
      <c r="E11" s="12">
        <f>SUMIF('P&amp;L'!$C$17:E17,"&lt;0")*-1</f>
        <v>7547029112.1326723</v>
      </c>
      <c r="F11" s="12">
        <f>SUMIF('P&amp;L'!$C$17:F17,"&lt;0")*-1</f>
        <v>17752084256.953667</v>
      </c>
      <c r="G11" s="12">
        <f>SUMIF('P&amp;L'!$C$17:G17,"&lt;0")*-1</f>
        <v>34084057245.029335</v>
      </c>
    </row>
    <row r="12" spans="2:7" ht="15" customHeight="1" x14ac:dyDescent="0.35">
      <c r="B12" s="1" t="s">
        <v>2954</v>
      </c>
      <c r="C12" s="59">
        <f>C10-C11</f>
        <v>2135663437.4069796</v>
      </c>
      <c r="D12" s="59">
        <f>D10-D11</f>
        <v>6816288542.8143492</v>
      </c>
      <c r="E12" s="59">
        <f>E10-E11</f>
        <v>20774123207.468193</v>
      </c>
      <c r="F12" s="59">
        <f>F10-F11</f>
        <v>39086331029.119896</v>
      </c>
      <c r="G12" s="59">
        <f>G10-G11</f>
        <v>57243016649.904671</v>
      </c>
    </row>
    <row r="13" spans="2:7" ht="15" customHeight="1" x14ac:dyDescent="0.35">
      <c r="B13" t="s">
        <v>2955</v>
      </c>
      <c r="C13" s="53">
        <v>200000000</v>
      </c>
      <c r="D13" s="53">
        <v>500000000</v>
      </c>
      <c r="E13" s="53">
        <v>900000000</v>
      </c>
      <c r="F13" s="53">
        <v>1300000000</v>
      </c>
      <c r="G13" s="53">
        <v>1600000000</v>
      </c>
    </row>
    <row r="14" spans="2:7" ht="15" customHeight="1" x14ac:dyDescent="0.35">
      <c r="B14" s="46" t="s">
        <v>2956</v>
      </c>
      <c r="C14" s="61">
        <f>C9+C12+C13</f>
        <v>5859587998.9352627</v>
      </c>
      <c r="D14" s="61">
        <f>D9+D12+D13</f>
        <v>13168581504.442032</v>
      </c>
      <c r="E14" s="61">
        <f>E9+E12+E13</f>
        <v>34566831913.558189</v>
      </c>
      <c r="F14" s="61">
        <f>F9+F12+F13</f>
        <v>70445603837.071487</v>
      </c>
      <c r="G14" s="61">
        <f>G9+G12+G13</f>
        <v>93664754846.328247</v>
      </c>
    </row>
    <row r="16" spans="2:7" ht="15" customHeight="1" x14ac:dyDescent="0.35">
      <c r="B16" s="550" t="s">
        <v>2957</v>
      </c>
      <c r="C16" s="550"/>
      <c r="D16" s="550"/>
      <c r="E16" s="550"/>
      <c r="F16" s="550"/>
      <c r="G16" s="550"/>
    </row>
    <row r="17" spans="2:7" ht="15" customHeight="1" x14ac:dyDescent="0.35">
      <c r="B17" t="s">
        <v>2958</v>
      </c>
      <c r="C17" s="12">
        <f>-'P&amp;L'!C7*45/365</f>
        <v>77485447.97260274</v>
      </c>
      <c r="D17" s="12">
        <f>-'P&amp;L'!D7*45/365</f>
        <v>334280774.46575344</v>
      </c>
      <c r="E17" s="12">
        <f>-'P&amp;L'!E7*45/365</f>
        <v>1143037103.9655824</v>
      </c>
      <c r="F17" s="12">
        <f>-'P&amp;L'!F7*45/365</f>
        <v>2488354121.4433765</v>
      </c>
      <c r="G17" s="12">
        <f>-'P&amp;L'!G7*45/365</f>
        <v>4315362916.6540356</v>
      </c>
    </row>
    <row r="18" spans="2:7" ht="15" customHeight="1" x14ac:dyDescent="0.35">
      <c r="B18" t="s">
        <v>2959</v>
      </c>
      <c r="C18" s="53">
        <v>0</v>
      </c>
      <c r="D18" s="53">
        <v>500000000</v>
      </c>
      <c r="E18" s="53">
        <v>1000000000</v>
      </c>
      <c r="F18" s="53">
        <v>2000000000</v>
      </c>
      <c r="G18" s="53">
        <v>1500000000</v>
      </c>
    </row>
    <row r="19" spans="2:7" ht="15" customHeight="1" x14ac:dyDescent="0.35">
      <c r="B19" t="s">
        <v>2960</v>
      </c>
      <c r="C19" s="12">
        <f>SUM('Cash Flow'!$C$17:C17)-C18</f>
        <v>0</v>
      </c>
      <c r="D19" s="12">
        <f>SUM('Cash Flow'!$C$17:D17)-D18</f>
        <v>1500000000</v>
      </c>
      <c r="E19" s="12">
        <f>SUM('Cash Flow'!$C$17:E17)-E18</f>
        <v>6000000000</v>
      </c>
      <c r="F19" s="12">
        <f>SUM('Cash Flow'!$C$17:F17)-F18</f>
        <v>13000000000</v>
      </c>
      <c r="G19" s="12">
        <f>SUM('Cash Flow'!$C$17:G17)-G18</f>
        <v>28000000000</v>
      </c>
    </row>
    <row r="20" spans="2:7" ht="15" customHeight="1" x14ac:dyDescent="0.35">
      <c r="B20" s="1" t="s">
        <v>2961</v>
      </c>
      <c r="C20" s="59">
        <f>SUM(C17:C19)</f>
        <v>77485447.97260274</v>
      </c>
      <c r="D20" s="59">
        <f>SUM(D17:D19)</f>
        <v>2334280774.4657536</v>
      </c>
      <c r="E20" s="59">
        <f>SUM(E17:E19)</f>
        <v>8143037103.9655819</v>
      </c>
      <c r="F20" s="59">
        <f>SUM(F17:F19)</f>
        <v>17488354121.443375</v>
      </c>
      <c r="G20" s="59">
        <f>SUM(G17:G19)</f>
        <v>33815362916.654037</v>
      </c>
    </row>
    <row r="21" spans="2:7" ht="15" customHeight="1" x14ac:dyDescent="0.35">
      <c r="B21" t="s">
        <v>2962</v>
      </c>
      <c r="C21" s="12">
        <f>SUM('Cash Flow'!$C$16:C16)</f>
        <v>7000000000</v>
      </c>
      <c r="D21" s="12">
        <f>SUM('Cash Flow'!$C$16:D16)</f>
        <v>14500000000</v>
      </c>
      <c r="E21" s="12">
        <f>SUM('Cash Flow'!$C$16:E16)</f>
        <v>34500000000</v>
      </c>
      <c r="F21" s="12">
        <f>SUM('Cash Flow'!$C$16:F16)</f>
        <v>64500000000</v>
      </c>
      <c r="G21" s="12">
        <f>SUM('Cash Flow'!$C$16:G16)</f>
        <v>70500000000</v>
      </c>
    </row>
    <row r="22" spans="2:7" ht="15" customHeight="1" x14ac:dyDescent="0.35">
      <c r="B22" t="s">
        <v>2963</v>
      </c>
      <c r="C22" s="12">
        <f>SUM('P&amp;L'!$C$21:C21)</f>
        <v>-1217897449.0373402</v>
      </c>
      <c r="D22" s="12">
        <f>SUM('P&amp;L'!$C$21:D21)</f>
        <v>-3665699270.0237188</v>
      </c>
      <c r="E22" s="12">
        <f>SUM('P&amp;L'!$C$21:E21)</f>
        <v>-8076205190.4073915</v>
      </c>
      <c r="F22" s="12">
        <f>SUM('P&amp;L'!$C$21:F21)</f>
        <v>-11542750284.37188</v>
      </c>
      <c r="G22" s="12">
        <f>SUM('P&amp;L'!$C$21:G21)</f>
        <v>-10650608070.325785</v>
      </c>
    </row>
    <row r="23" spans="2:7" ht="15" customHeight="1" x14ac:dyDescent="0.35">
      <c r="B23" s="1" t="s">
        <v>2964</v>
      </c>
      <c r="C23" s="59">
        <f>C21+C22</f>
        <v>5782102550.9626598</v>
      </c>
      <c r="D23" s="59">
        <f>D21+D22</f>
        <v>10834300729.97628</v>
      </c>
      <c r="E23" s="59">
        <f>E21+E22</f>
        <v>26423794809.592609</v>
      </c>
      <c r="F23" s="59">
        <f>F21+F22</f>
        <v>52957249715.62812</v>
      </c>
      <c r="G23" s="59">
        <f>G21+G22</f>
        <v>59849391929.674217</v>
      </c>
    </row>
    <row r="24" spans="2:7" ht="15" customHeight="1" x14ac:dyDescent="0.35">
      <c r="B24" s="46" t="s">
        <v>2965</v>
      </c>
      <c r="C24" s="61">
        <f>C20+C23</f>
        <v>5859587998.9352627</v>
      </c>
      <c r="D24" s="61">
        <f>D20+D23</f>
        <v>13168581504.442034</v>
      </c>
      <c r="E24" s="61">
        <f>E20+E23</f>
        <v>34566831913.558189</v>
      </c>
      <c r="F24" s="61">
        <f>F20+F23</f>
        <v>70445603837.071503</v>
      </c>
      <c r="G24" s="61">
        <f>G20+G23</f>
        <v>93664754846.328247</v>
      </c>
    </row>
    <row r="26" spans="2:7" ht="15" customHeight="1" x14ac:dyDescent="0.35">
      <c r="B26" s="27" t="s">
        <v>2966</v>
      </c>
      <c r="C26" s="82">
        <f>C14-C24</f>
        <v>0</v>
      </c>
      <c r="D26" s="82">
        <f>D14-D24</f>
        <v>0</v>
      </c>
      <c r="E26" s="82">
        <f>E14-E24</f>
        <v>0</v>
      </c>
      <c r="F26" s="82">
        <f>F14-F24</f>
        <v>0</v>
      </c>
      <c r="G26" s="82">
        <f>G14-G24</f>
        <v>0</v>
      </c>
    </row>
  </sheetData>
  <mergeCells count="3">
    <mergeCell ref="B1:G1"/>
    <mergeCell ref="B5:G5"/>
    <mergeCell ref="B16:G16"/>
  </mergeCells>
  <pageMargins left="0.75" right="0.75" top="1" bottom="1" header="0.511811023622047" footer="0.511811023622047"/>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4E79"/>
  </sheetPr>
  <dimension ref="A1:G46"/>
  <sheetViews>
    <sheetView topLeftCell="A31" zoomScaleNormal="100" workbookViewId="0">
      <selection activeCell="G15" sqref="G15"/>
    </sheetView>
  </sheetViews>
  <sheetFormatPr defaultColWidth="8.54296875" defaultRowHeight="14.5" x14ac:dyDescent="0.35"/>
  <cols>
    <col min="1" max="1" width="3" customWidth="1"/>
    <col min="2" max="2" width="28" customWidth="1"/>
    <col min="3" max="3" width="16.1796875" bestFit="1" customWidth="1"/>
    <col min="4" max="4" width="11.26953125" bestFit="1" customWidth="1"/>
    <col min="5" max="5" width="17.1796875" bestFit="1" customWidth="1"/>
    <col min="6" max="6" width="18" customWidth="1"/>
  </cols>
  <sheetData>
    <row r="1" spans="2:6" ht="30" customHeight="1" x14ac:dyDescent="0.35">
      <c r="B1" s="487" t="s">
        <v>2967</v>
      </c>
      <c r="C1" s="487"/>
      <c r="D1" s="487"/>
      <c r="E1" s="487"/>
      <c r="F1" s="487"/>
    </row>
    <row r="2" spans="2:6" x14ac:dyDescent="0.35">
      <c r="B2" s="196" t="s">
        <v>4842</v>
      </c>
    </row>
    <row r="3" spans="2:6" ht="15" customHeight="1" x14ac:dyDescent="0.35">
      <c r="B3" s="485" t="s">
        <v>2968</v>
      </c>
      <c r="C3" s="485"/>
      <c r="D3" s="485"/>
      <c r="E3" s="485"/>
      <c r="F3" s="485"/>
    </row>
    <row r="4" spans="2:6" ht="15" customHeight="1" x14ac:dyDescent="0.35">
      <c r="B4" s="15" t="s">
        <v>1468</v>
      </c>
      <c r="C4" s="383" t="s">
        <v>4843</v>
      </c>
      <c r="D4" s="15" t="s">
        <v>1366</v>
      </c>
      <c r="E4" s="384" t="s">
        <v>4844</v>
      </c>
      <c r="F4" s="15" t="s">
        <v>1469</v>
      </c>
    </row>
    <row r="5" spans="2:6" ht="15" customHeight="1" x14ac:dyDescent="0.35">
      <c r="B5" s="1" t="s">
        <v>2969</v>
      </c>
      <c r="C5" s="53">
        <f>INDEX(HubsRow,1,5)*INDEX(CouriersPerHub,1,5)*Assumptions!B25*Assumptions!B29*(1+Assumptions!B9)^4*12+INDEX(MicrogridsRow,1,5)*INDEX(HomesPerMG,1,5)*Assumptions!B26*Assumptions!B30*(1+Assumptions!B9)^4*12+INDEX(HubsRow,1,5)*INDEX(CouriersPerHub,1,5)*0.15*800000*12+ESG!G10*Assumptions!B15*Assumptions!B35+INDEX(BatteriesRow,1,5)*(Assumptions!B33*Assumptions!B11)*0.9+INDEX(OEMcustomers,1,5)*Assumptions!B34*Assumptions!B11*(1+Assumptions!B9)^4+700000000</f>
        <v>38616251545.330002</v>
      </c>
      <c r="D5" s="197">
        <f>'P&amp;L'!G6/1000000</f>
        <v>63947.557349976232</v>
      </c>
      <c r="E5" s="53">
        <f>INDEX(HubsRow,1,5)*INDEX(CouriersPerHub,1,5)*Assumptions!D25*Assumptions!D29*(1+Assumptions!D9)^4*12+INDEX(MicrogridsRow,1,5)*INDEX(HomesPerMG,1,5)*Assumptions!D26*Assumptions!D30*(1+Assumptions!D9)^4*12+INDEX(HubsRow,1,5)*INDEX(CouriersPerHub,1,5)*0.25*1000000*12+ESG!G10*Assumptions!D15*Assumptions!D35+INDEX(BatteriesRow,1,5)*(Assumptions!D33*Assumptions!D11)*1+INDEX(OEMcustomers,1,5)*Assumptions!D34*Assumptions!D11*(1+Assumptions!D9)^4+700000000</f>
        <v>96667913086.016006</v>
      </c>
      <c r="F5" s="5" t="s">
        <v>2970</v>
      </c>
    </row>
    <row r="6" spans="2:6" ht="15" customHeight="1" x14ac:dyDescent="0.35">
      <c r="B6" s="1" t="s">
        <v>2971</v>
      </c>
      <c r="C6" s="53">
        <f>C5-'Swap Hub Econ'!C15*12*INDEX(HubsRow,1,5)-'Microgrid Econ'!C15*12*INDEX(MicrogridsRow,1,5)-INDEX(BatteriesRow,1,4)*0.5*RollUp!E63-C5*0.3</f>
        <v>-3644323086.2689991</v>
      </c>
      <c r="D6" s="197">
        <f>'P&amp;L'!G15/1000000</f>
        <v>18975.745057365533</v>
      </c>
      <c r="E6" s="53">
        <f>E5-'Swap Hub Econ'!E15*12*INDEX(HubsRow,1,5)-'Microgrid Econ'!E15*12*INDEX(MicrogridsRow,1,5)-INDEX(BatteriesRow,1,4)*0.5*RollUp!E63-E5*0.22</f>
        <v>39013273039.092484</v>
      </c>
      <c r="F6" s="5" t="s">
        <v>2972</v>
      </c>
    </row>
    <row r="7" spans="2:6" ht="15" customHeight="1" x14ac:dyDescent="0.35">
      <c r="B7" s="22" t="s">
        <v>7</v>
      </c>
      <c r="C7" s="198">
        <f>IFERROR(C6/C5,0)</f>
        <v>-9.4372781935892477E-2</v>
      </c>
      <c r="D7" s="198">
        <f>'P&amp;L'!G16</f>
        <v>0.2967391694652835</v>
      </c>
      <c r="E7" s="198">
        <f>IFERROR(E6/E5,0)</f>
        <v>0.4035803794003302</v>
      </c>
      <c r="F7" s="5" t="s">
        <v>2973</v>
      </c>
    </row>
    <row r="8" spans="2:6" ht="15" customHeight="1" x14ac:dyDescent="0.35">
      <c r="B8" s="22" t="s">
        <v>2974</v>
      </c>
      <c r="C8" s="198">
        <f>IFERROR(C6/C5*(1-0.3),0)</f>
        <v>-6.606094735512473E-2</v>
      </c>
      <c r="D8" s="198">
        <f>'P&amp;L'!G22</f>
        <v>1.3951153898866267E-2</v>
      </c>
      <c r="E8" s="198">
        <f>IFERROR(E6/E5*(1-0.25),0)</f>
        <v>0.30268528455024768</v>
      </c>
      <c r="F8" s="5" t="s">
        <v>2975</v>
      </c>
    </row>
    <row r="9" spans="2:6" ht="15" customHeight="1" x14ac:dyDescent="0.35">
      <c r="B9" s="1" t="s">
        <v>8</v>
      </c>
      <c r="C9" s="23" t="s">
        <v>4845</v>
      </c>
      <c r="D9" s="198">
        <f>'Investor Returns'!C32</f>
        <v>0.35801330967123146</v>
      </c>
      <c r="E9" s="23" t="s">
        <v>4845</v>
      </c>
      <c r="F9" s="5" t="s">
        <v>2976</v>
      </c>
    </row>
    <row r="10" spans="2:6" ht="15" customHeight="1" x14ac:dyDescent="0.35">
      <c r="B10" s="22" t="s">
        <v>2977</v>
      </c>
      <c r="C10" s="25" t="str">
        <f>IF(C6&gt;0,"Y4 (est)","Not in 5yr")</f>
        <v>Not in 5yr</v>
      </c>
      <c r="D10" s="25">
        <f>'P&amp;L'!H17</f>
        <v>3</v>
      </c>
      <c r="E10" s="25" t="str">
        <f>IF(E6&gt;0,"Y3 (est)","Not in 5yr")</f>
        <v>Y3 (est)</v>
      </c>
      <c r="F10" s="5" t="s">
        <v>2978</v>
      </c>
    </row>
    <row r="11" spans="2:6" ht="15" customHeight="1" x14ac:dyDescent="0.35">
      <c r="B11" s="22" t="s">
        <v>2979</v>
      </c>
      <c r="C11" s="197">
        <f>INDEX(HubsRow,1,5)*Assumptions!B31+INDEX(MicrogridsRow,1,5)*Assumptions!B32</f>
        <v>92976552272.594391</v>
      </c>
      <c r="D11" s="197">
        <f>'Capex Schedule'!H11/1000000</f>
        <v>91327.073894934001</v>
      </c>
      <c r="E11" s="197">
        <f>INDEX(HubsRow,1,5)*Assumptions!D31+INDEX(MicrogridsRow,1,5)*Assumptions!D32</f>
        <v>69193544374.898392</v>
      </c>
      <c r="F11" s="5" t="s">
        <v>2980</v>
      </c>
    </row>
    <row r="12" spans="2:6" ht="15" customHeight="1" x14ac:dyDescent="0.35">
      <c r="B12" s="22" t="s">
        <v>2981</v>
      </c>
      <c r="C12" s="23">
        <v>6000000000</v>
      </c>
      <c r="D12" s="197">
        <f>NPV(WACC,'P&amp;L'!C21,'P&amp;L'!D21,'P&amp;L'!E21,'P&amp;L'!F21,'P&amp;L'!G21)/1000000</f>
        <v>-7874.9186842322706</v>
      </c>
      <c r="E12" s="23">
        <v>38000000000</v>
      </c>
      <c r="F12" s="5" t="s">
        <v>2982</v>
      </c>
    </row>
    <row r="16" spans="2:6" ht="15" customHeight="1" x14ac:dyDescent="0.35">
      <c r="B16" s="485" t="s">
        <v>2983</v>
      </c>
      <c r="C16" s="485"/>
      <c r="D16" s="485"/>
      <c r="E16" s="485"/>
      <c r="F16" s="485"/>
    </row>
    <row r="17" spans="2:7" ht="15" customHeight="1" x14ac:dyDescent="0.35">
      <c r="B17" s="15" t="s">
        <v>1373</v>
      </c>
      <c r="C17" s="15" t="s">
        <v>2984</v>
      </c>
      <c r="D17" s="15" t="s">
        <v>1366</v>
      </c>
      <c r="E17" s="15" t="s">
        <v>2985</v>
      </c>
      <c r="F17" s="15" t="s">
        <v>2986</v>
      </c>
    </row>
    <row r="18" spans="2:7" ht="15" customHeight="1" x14ac:dyDescent="0.35">
      <c r="B18" s="1" t="s">
        <v>1437</v>
      </c>
      <c r="C18" s="53">
        <v>5300000000</v>
      </c>
      <c r="D18" s="53">
        <v>6500000000</v>
      </c>
      <c r="E18" s="53">
        <v>7700000000</v>
      </c>
      <c r="F18" s="73">
        <f>E18-C18</f>
        <v>2400000000</v>
      </c>
    </row>
    <row r="19" spans="2:7" ht="15" customHeight="1" x14ac:dyDescent="0.35">
      <c r="B19" s="1" t="s">
        <v>2759</v>
      </c>
      <c r="C19" s="53">
        <v>5200000000</v>
      </c>
      <c r="D19" s="53">
        <v>6500000000</v>
      </c>
      <c r="E19" s="53">
        <v>7800000000</v>
      </c>
      <c r="F19" s="73">
        <f>E19-C19</f>
        <v>2600000000</v>
      </c>
    </row>
    <row r="20" spans="2:7" ht="15" customHeight="1" x14ac:dyDescent="0.35">
      <c r="B20" s="1" t="s">
        <v>2987</v>
      </c>
      <c r="C20" s="53">
        <v>6100000000</v>
      </c>
      <c r="D20" s="53">
        <v>6500000000</v>
      </c>
      <c r="E20" s="53">
        <v>7200000000</v>
      </c>
      <c r="F20" s="73">
        <f>E20-C20</f>
        <v>1100000000</v>
      </c>
    </row>
    <row r="21" spans="2:7" ht="15" customHeight="1" x14ac:dyDescent="0.35">
      <c r="B21" s="1" t="s">
        <v>1433</v>
      </c>
      <c r="C21" s="53">
        <v>7100000000</v>
      </c>
      <c r="D21" s="53">
        <v>6500000000</v>
      </c>
      <c r="E21" s="53">
        <v>5900000000</v>
      </c>
      <c r="F21" s="73">
        <f>E21-C21</f>
        <v>-1200000000</v>
      </c>
    </row>
    <row r="22" spans="2:7" ht="15" customHeight="1" x14ac:dyDescent="0.35">
      <c r="B22" s="1" t="s">
        <v>2988</v>
      </c>
      <c r="C22" s="53">
        <v>5000000000</v>
      </c>
      <c r="D22" s="53">
        <v>6500000000</v>
      </c>
      <c r="E22" s="53">
        <v>8000000000</v>
      </c>
      <c r="F22" s="73">
        <f>E22-C22</f>
        <v>3000000000</v>
      </c>
    </row>
    <row r="26" spans="2:7" ht="15" customHeight="1" x14ac:dyDescent="0.35">
      <c r="B26" s="485" t="s">
        <v>2989</v>
      </c>
      <c r="C26" s="485"/>
      <c r="D26" s="485"/>
      <c r="E26" s="485"/>
      <c r="F26" s="485"/>
    </row>
    <row r="28" spans="2:7" ht="15" customHeight="1" x14ac:dyDescent="0.35">
      <c r="B28" s="85" t="s">
        <v>2990</v>
      </c>
      <c r="C28" s="72">
        <v>25000</v>
      </c>
      <c r="D28" s="72">
        <v>50000</v>
      </c>
      <c r="E28" s="72">
        <v>96000</v>
      </c>
      <c r="F28" s="72">
        <v>150000</v>
      </c>
      <c r="G28" s="72">
        <v>250000</v>
      </c>
    </row>
    <row r="29" spans="2:7" ht="15" customHeight="1" x14ac:dyDescent="0.35">
      <c r="B29" s="23">
        <v>0.4</v>
      </c>
      <c r="C29" s="16">
        <v>3787500000</v>
      </c>
      <c r="D29" s="16">
        <v>4575000000</v>
      </c>
      <c r="E29" s="16">
        <v>6024000000</v>
      </c>
      <c r="F29" s="16">
        <v>7725000000</v>
      </c>
      <c r="G29" s="16">
        <v>10875000000</v>
      </c>
    </row>
    <row r="30" spans="2:7" ht="15" customHeight="1" x14ac:dyDescent="0.35">
      <c r="B30" s="23">
        <v>0.5</v>
      </c>
      <c r="C30" s="16">
        <v>4537500000</v>
      </c>
      <c r="D30" s="16">
        <v>5325000000</v>
      </c>
      <c r="E30" s="16">
        <v>6774000000</v>
      </c>
      <c r="F30" s="16">
        <v>8475000000</v>
      </c>
      <c r="G30" s="16">
        <v>11625000000</v>
      </c>
    </row>
    <row r="31" spans="2:7" ht="15" customHeight="1" x14ac:dyDescent="0.35">
      <c r="B31" s="23">
        <v>0.6</v>
      </c>
      <c r="C31" s="16">
        <v>5287500000</v>
      </c>
      <c r="D31" s="16">
        <v>6075000000</v>
      </c>
      <c r="E31" s="16">
        <v>7524000000</v>
      </c>
      <c r="F31" s="16">
        <v>9225000000</v>
      </c>
      <c r="G31" s="16">
        <v>12375000000</v>
      </c>
    </row>
    <row r="32" spans="2:7" ht="15" customHeight="1" x14ac:dyDescent="0.35">
      <c r="B32" s="23">
        <v>0.7</v>
      </c>
      <c r="C32" s="16">
        <v>6037500000</v>
      </c>
      <c r="D32" s="16">
        <v>6825000000</v>
      </c>
      <c r="E32" s="16">
        <v>8274000000</v>
      </c>
      <c r="F32" s="16">
        <v>9975000000</v>
      </c>
      <c r="G32" s="16">
        <v>13125000000</v>
      </c>
    </row>
    <row r="33" spans="1:7" ht="15" customHeight="1" x14ac:dyDescent="0.35">
      <c r="B33" s="23">
        <v>0.8</v>
      </c>
      <c r="C33" s="16">
        <v>6787500000</v>
      </c>
      <c r="D33" s="16">
        <v>7575000000</v>
      </c>
      <c r="E33" s="16">
        <v>9024000000</v>
      </c>
      <c r="F33" s="16">
        <v>10725000000</v>
      </c>
      <c r="G33" s="16">
        <v>13875000000</v>
      </c>
    </row>
    <row r="36" spans="1:7" x14ac:dyDescent="0.35">
      <c r="A36" s="431" t="s">
        <v>4921</v>
      </c>
    </row>
    <row r="37" spans="1:7" x14ac:dyDescent="0.35">
      <c r="A37" t="s">
        <v>4922</v>
      </c>
      <c r="D37" s="432">
        <v>0.6</v>
      </c>
    </row>
    <row r="38" spans="1:7" x14ac:dyDescent="0.35">
      <c r="A38" s="386" t="s">
        <v>4923</v>
      </c>
      <c r="B38" s="386" t="s">
        <v>4924</v>
      </c>
      <c r="C38" s="386" t="s">
        <v>4925</v>
      </c>
      <c r="D38" s="386" t="s">
        <v>4926</v>
      </c>
      <c r="E38" s="386" t="s">
        <v>4927</v>
      </c>
    </row>
    <row r="39" spans="1:7" x14ac:dyDescent="0.35">
      <c r="A39">
        <v>15000</v>
      </c>
      <c r="B39" s="380">
        <f>RollUp!$E$63*($D$37*A39/16000+(1-$D$37))</f>
        <v>6471236.7719999999</v>
      </c>
      <c r="C39" s="380">
        <f>INDEX(BatteriesRow,1,4)*'P&amp;L'!$B$45*B39</f>
        <v>7118360449.1999998</v>
      </c>
      <c r="D39" s="380">
        <f>'P&amp;L'!$G$38+C39+'P&amp;L'!$G$40</f>
        <v>34725049382.949409</v>
      </c>
      <c r="E39" s="191">
        <f>('P&amp;L'!$G$6-D39)/'P&amp;L'!$G$6</f>
        <v>0.45697614073194437</v>
      </c>
    </row>
    <row r="40" spans="1:7" x14ac:dyDescent="0.35">
      <c r="A40">
        <v>15500</v>
      </c>
      <c r="B40" s="380">
        <f>RollUp!$E$63*($D$37*A40/16000+(1-$D$37))</f>
        <v>6597299.8260000004</v>
      </c>
      <c r="C40" s="380">
        <f>INDEX(BatteriesRow,1,4)*'P&amp;L'!$B$45*B40</f>
        <v>7257029808.6000004</v>
      </c>
      <c r="D40" s="380">
        <f>'P&amp;L'!$G$38+C40+'P&amp;L'!$G$40</f>
        <v>34863718742.349403</v>
      </c>
      <c r="E40" s="191">
        <f>('P&amp;L'!$G$6-D40)/'P&amp;L'!$G$6</f>
        <v>0.45480765509861404</v>
      </c>
    </row>
    <row r="41" spans="1:7" x14ac:dyDescent="0.35">
      <c r="A41" s="433">
        <v>16000</v>
      </c>
      <c r="B41" s="434">
        <f>RollUp!$E$63*($D$37*A41/16000+(1-$D$37))</f>
        <v>6723362.8799999999</v>
      </c>
      <c r="C41" s="434">
        <f>INDEX(BatteriesRow,1,4)*'P&amp;L'!$B$45*B41</f>
        <v>7395699168</v>
      </c>
      <c r="D41" s="434">
        <f>'P&amp;L'!$G$38+C41+'P&amp;L'!$G$40</f>
        <v>35002388101.749405</v>
      </c>
      <c r="E41" s="435">
        <f>('P&amp;L'!$G$6-D41)/'P&amp;L'!$G$6</f>
        <v>0.45263916946528354</v>
      </c>
    </row>
    <row r="42" spans="1:7" x14ac:dyDescent="0.35">
      <c r="A42">
        <v>16500</v>
      </c>
      <c r="B42" s="380">
        <f>RollUp!$E$63*($D$37*A42/16000+(1-$D$37))</f>
        <v>6849425.9340000004</v>
      </c>
      <c r="C42" s="380">
        <f>INDEX(BatteriesRow,1,4)*'P&amp;L'!$B$45*B42</f>
        <v>7534368527.4000006</v>
      </c>
      <c r="D42" s="380">
        <f>'P&amp;L'!$G$38+C42+'P&amp;L'!$G$40</f>
        <v>35141057461.149406</v>
      </c>
      <c r="E42" s="191">
        <f>('P&amp;L'!$G$6-D42)/'P&amp;L'!$G$6</f>
        <v>0.45047068383195304</v>
      </c>
    </row>
    <row r="43" spans="1:7" x14ac:dyDescent="0.35">
      <c r="A43">
        <v>17000</v>
      </c>
      <c r="B43" s="380">
        <f>RollUp!$E$63*($D$37*A43/16000+(1-$D$37))</f>
        <v>6975488.9880000008</v>
      </c>
      <c r="C43" s="380">
        <f>INDEX(BatteriesRow,1,4)*'P&amp;L'!$B$45*B43</f>
        <v>7673037886.8000011</v>
      </c>
      <c r="D43" s="380">
        <f>'P&amp;L'!$G$38+C43+'P&amp;L'!$G$40</f>
        <v>35279726820.549408</v>
      </c>
      <c r="E43" s="191">
        <f>('P&amp;L'!$G$6-D43)/'P&amp;L'!$G$6</f>
        <v>0.44830219819862255</v>
      </c>
    </row>
    <row r="44" spans="1:7" x14ac:dyDescent="0.35">
      <c r="A44">
        <v>17500</v>
      </c>
      <c r="B44" s="380">
        <f>RollUp!$E$63*($D$37*A44/16000+(1-$D$37))</f>
        <v>7101552.0419999994</v>
      </c>
      <c r="C44" s="380">
        <f>INDEX(BatteriesRow,1,4)*'P&amp;L'!$B$45*B44</f>
        <v>7811707246.1999998</v>
      </c>
      <c r="D44" s="380">
        <f>'P&amp;L'!$G$38+C44+'P&amp;L'!$G$40</f>
        <v>35418396179.949409</v>
      </c>
      <c r="E44" s="191">
        <f>('P&amp;L'!$G$6-D44)/'P&amp;L'!$G$6</f>
        <v>0.44613371256529205</v>
      </c>
    </row>
    <row r="45" spans="1:7" x14ac:dyDescent="0.35">
      <c r="A45">
        <v>18039</v>
      </c>
      <c r="B45" s="380">
        <f>RollUp!$E$63*($D$37*A45/16000+(1-$D$37))</f>
        <v>7237448.0142119993</v>
      </c>
      <c r="C45" s="380">
        <f>INDEX(BatteriesRow,1,4)*'P&amp;L'!$B$45*B45</f>
        <v>7961192815.6331987</v>
      </c>
      <c r="D45" s="380">
        <f>'P&amp;L'!$G$38+C45+'P&amp;L'!$G$40</f>
        <v>35567881749.382607</v>
      </c>
      <c r="E45" s="191">
        <f>('P&amp;L'!$G$6-D45)/'P&amp;L'!$G$6</f>
        <v>0.44379608505256185</v>
      </c>
    </row>
    <row r="46" spans="1:7" x14ac:dyDescent="0.35">
      <c r="A46" s="408" t="s">
        <v>4928</v>
      </c>
    </row>
  </sheetData>
  <mergeCells count="4">
    <mergeCell ref="B1:F1"/>
    <mergeCell ref="B3:F3"/>
    <mergeCell ref="B16:F16"/>
    <mergeCell ref="B26:F26"/>
  </mergeCells>
  <conditionalFormatting sqref="C29:G33">
    <cfRule type="colorScale" priority="2">
      <colorScale>
        <cfvo type="min"/>
        <cfvo type="percentile" val="50"/>
        <cfvo type="max"/>
        <color rgb="FFF8D7DA"/>
        <color rgb="FFFFF3CD"/>
        <color rgb="FFD4EDDA"/>
      </colorScale>
    </cfRule>
  </conditionalFormatting>
  <pageMargins left="0.75" right="0.75" top="1" bottom="1" header="0.511811023622047" footer="0.511811023622047"/>
  <pageSetup paperSize="9" orientation="portrait" horizontalDpi="300" verticalDpi="300"/>
  <legacy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B2E42-564E-4405-B8AA-3F7454B89B56}">
  <sheetPr>
    <tabColor rgb="FF1F4E79"/>
  </sheetPr>
  <dimension ref="A1:Z70"/>
  <sheetViews>
    <sheetView zoomScale="189" workbookViewId="0">
      <pane xSplit="1" ySplit="1" topLeftCell="B43" activePane="bottomRight" state="frozen"/>
      <selection pane="topRight" activeCell="B1" sqref="B1"/>
      <selection pane="bottomLeft" activeCell="A2" sqref="A2"/>
      <selection pane="bottomRight" activeCell="D57" sqref="D57"/>
    </sheetView>
  </sheetViews>
  <sheetFormatPr defaultRowHeight="14.5" x14ac:dyDescent="0.35"/>
  <cols>
    <col min="1" max="1" width="36.36328125" customWidth="1"/>
    <col min="2" max="2" width="17.26953125" customWidth="1"/>
    <col min="3" max="3" width="13.81640625" style="409" bestFit="1" customWidth="1"/>
    <col min="4" max="7" width="11.26953125" customWidth="1"/>
    <col min="8" max="9" width="12.453125" bestFit="1" customWidth="1"/>
    <col min="10" max="14" width="11.26953125" customWidth="1"/>
    <col min="15" max="15" width="13.81640625" bestFit="1" customWidth="1"/>
    <col min="16" max="16" width="13.54296875" bestFit="1" customWidth="1"/>
    <col min="17" max="24" width="11.26953125" customWidth="1"/>
    <col min="25" max="26" width="13.54296875" bestFit="1" customWidth="1"/>
  </cols>
  <sheetData>
    <row r="1" spans="1:26" ht="17" x14ac:dyDescent="0.4">
      <c r="A1" s="552" t="s">
        <v>4846</v>
      </c>
      <c r="B1" s="552"/>
      <c r="C1" s="552"/>
      <c r="D1" s="552"/>
      <c r="E1" s="552"/>
      <c r="F1" s="552"/>
    </row>
    <row r="2" spans="1:26" x14ac:dyDescent="0.35">
      <c r="A2" s="356" t="s">
        <v>4847</v>
      </c>
    </row>
    <row r="3" spans="1:26" x14ac:dyDescent="0.35">
      <c r="A3" s="385" t="s">
        <v>4848</v>
      </c>
    </row>
    <row r="5" spans="1:26" x14ac:dyDescent="0.35">
      <c r="A5" s="386" t="s">
        <v>2430</v>
      </c>
      <c r="C5" s="410" t="str">
        <f>IF(COLUMN()-2&lt;=12,"Year 1","Year 2")</f>
        <v>Year 1</v>
      </c>
      <c r="D5" s="394" t="str">
        <f t="shared" ref="D5:Z5" si="0">IF(COLUMN()-2&lt;=12,"Year 1","Year 2")</f>
        <v>Year 1</v>
      </c>
      <c r="E5" s="394" t="str">
        <f t="shared" si="0"/>
        <v>Year 1</v>
      </c>
      <c r="F5" s="394" t="str">
        <f t="shared" si="0"/>
        <v>Year 1</v>
      </c>
      <c r="G5" s="394" t="str">
        <f t="shared" si="0"/>
        <v>Year 1</v>
      </c>
      <c r="H5" s="394" t="str">
        <f t="shared" si="0"/>
        <v>Year 1</v>
      </c>
      <c r="I5" s="394" t="str">
        <f t="shared" si="0"/>
        <v>Year 1</v>
      </c>
      <c r="J5" s="394" t="str">
        <f t="shared" si="0"/>
        <v>Year 1</v>
      </c>
      <c r="K5" s="394" t="str">
        <f t="shared" si="0"/>
        <v>Year 1</v>
      </c>
      <c r="L5" s="394" t="str">
        <f t="shared" si="0"/>
        <v>Year 1</v>
      </c>
      <c r="M5" s="394" t="str">
        <f t="shared" si="0"/>
        <v>Year 1</v>
      </c>
      <c r="N5" s="394" t="str">
        <f t="shared" si="0"/>
        <v>Year 1</v>
      </c>
      <c r="O5" s="394" t="str">
        <f t="shared" si="0"/>
        <v>Year 2</v>
      </c>
      <c r="P5" s="394" t="str">
        <f t="shared" si="0"/>
        <v>Year 2</v>
      </c>
      <c r="Q5" s="394" t="str">
        <f t="shared" si="0"/>
        <v>Year 2</v>
      </c>
      <c r="R5" s="394" t="str">
        <f t="shared" si="0"/>
        <v>Year 2</v>
      </c>
      <c r="S5" s="394" t="str">
        <f t="shared" si="0"/>
        <v>Year 2</v>
      </c>
      <c r="T5" s="394" t="str">
        <f t="shared" si="0"/>
        <v>Year 2</v>
      </c>
      <c r="U5" s="394" t="str">
        <f t="shared" si="0"/>
        <v>Year 2</v>
      </c>
      <c r="V5" s="394" t="str">
        <f t="shared" si="0"/>
        <v>Year 2</v>
      </c>
      <c r="W5" s="394" t="str">
        <f t="shared" si="0"/>
        <v>Year 2</v>
      </c>
      <c r="X5" s="394" t="str">
        <f t="shared" si="0"/>
        <v>Year 2</v>
      </c>
      <c r="Y5" s="394" t="str">
        <f t="shared" si="0"/>
        <v>Year 2</v>
      </c>
      <c r="Z5" s="394" t="str">
        <f t="shared" si="0"/>
        <v>Year 2</v>
      </c>
    </row>
    <row r="6" spans="1:26" x14ac:dyDescent="0.35">
      <c r="A6" s="387" t="s">
        <v>4849</v>
      </c>
      <c r="C6" s="411">
        <f>COLUMN()-2</f>
        <v>1</v>
      </c>
      <c r="D6" s="395">
        <f t="shared" ref="D6:Z6" si="1">COLUMN()-2</f>
        <v>2</v>
      </c>
      <c r="E6" s="395">
        <f t="shared" si="1"/>
        <v>3</v>
      </c>
      <c r="F6" s="395">
        <f t="shared" si="1"/>
        <v>4</v>
      </c>
      <c r="G6" s="395">
        <f t="shared" si="1"/>
        <v>5</v>
      </c>
      <c r="H6" s="395">
        <f t="shared" si="1"/>
        <v>6</v>
      </c>
      <c r="I6" s="395">
        <f t="shared" si="1"/>
        <v>7</v>
      </c>
      <c r="J6" s="395">
        <f t="shared" si="1"/>
        <v>8</v>
      </c>
      <c r="K6" s="395">
        <f t="shared" si="1"/>
        <v>9</v>
      </c>
      <c r="L6" s="395">
        <f t="shared" si="1"/>
        <v>10</v>
      </c>
      <c r="M6" s="395">
        <f t="shared" si="1"/>
        <v>11</v>
      </c>
      <c r="N6" s="395">
        <f t="shared" si="1"/>
        <v>12</v>
      </c>
      <c r="O6" s="395">
        <f t="shared" si="1"/>
        <v>13</v>
      </c>
      <c r="P6" s="395">
        <f t="shared" si="1"/>
        <v>14</v>
      </c>
      <c r="Q6" s="395">
        <f t="shared" si="1"/>
        <v>15</v>
      </c>
      <c r="R6" s="395">
        <f t="shared" si="1"/>
        <v>16</v>
      </c>
      <c r="S6" s="395">
        <f t="shared" si="1"/>
        <v>17</v>
      </c>
      <c r="T6" s="395">
        <f t="shared" si="1"/>
        <v>18</v>
      </c>
      <c r="U6" s="395">
        <f t="shared" si="1"/>
        <v>19</v>
      </c>
      <c r="V6" s="395">
        <f t="shared" si="1"/>
        <v>20</v>
      </c>
      <c r="W6" s="395">
        <f t="shared" si="1"/>
        <v>21</v>
      </c>
      <c r="X6" s="395">
        <f t="shared" si="1"/>
        <v>22</v>
      </c>
      <c r="Y6" s="395">
        <f t="shared" si="1"/>
        <v>23</v>
      </c>
      <c r="Z6" s="395">
        <f t="shared" si="1"/>
        <v>24</v>
      </c>
    </row>
    <row r="7" spans="1:26" x14ac:dyDescent="0.35">
      <c r="A7" t="s">
        <v>4850</v>
      </c>
    </row>
    <row r="8" spans="1:26" x14ac:dyDescent="0.35">
      <c r="A8" s="349" t="s">
        <v>4851</v>
      </c>
    </row>
    <row r="9" spans="1:26" x14ac:dyDescent="0.35">
      <c r="A9" s="343" t="s">
        <v>23</v>
      </c>
      <c r="C9" s="409">
        <f>IF(COLUMN()-2&lt;=12,Assumptions!$B$42,Assumptions!$C$42)</f>
        <v>2</v>
      </c>
      <c r="D9">
        <f>IF(COLUMN()-2&lt;=12,Assumptions!$B$42,Assumptions!$C$42)</f>
        <v>2</v>
      </c>
      <c r="E9">
        <f>IF(COLUMN()-2&lt;=12,Assumptions!$B$42,Assumptions!$C$42)</f>
        <v>2</v>
      </c>
      <c r="F9">
        <f>IF(COLUMN()-2&lt;=12,Assumptions!$B$42,Assumptions!$C$42)</f>
        <v>2</v>
      </c>
      <c r="G9">
        <f>IF(COLUMN()-2&lt;=12,Assumptions!$B$42,Assumptions!$C$42)</f>
        <v>2</v>
      </c>
      <c r="H9">
        <f>IF(COLUMN()-2&lt;=12,Assumptions!$B$42,Assumptions!$C$42)</f>
        <v>2</v>
      </c>
      <c r="I9">
        <f>IF(COLUMN()-2&lt;=12,Assumptions!$B$42,Assumptions!$C$42)</f>
        <v>2</v>
      </c>
      <c r="J9">
        <f>IF(COLUMN()-2&lt;=12,Assumptions!$B$42,Assumptions!$C$42)</f>
        <v>2</v>
      </c>
      <c r="K9">
        <f>IF(COLUMN()-2&lt;=12,Assumptions!$B$42,Assumptions!$C$42)</f>
        <v>2</v>
      </c>
      <c r="L9">
        <f>IF(COLUMN()-2&lt;=12,Assumptions!$B$42,Assumptions!$C$42)</f>
        <v>2</v>
      </c>
      <c r="M9">
        <f>IF(COLUMN()-2&lt;=12,Assumptions!$B$42,Assumptions!$C$42)</f>
        <v>2</v>
      </c>
      <c r="N9">
        <f>IF(COLUMN()-2&lt;=12,Assumptions!$B$42,Assumptions!$C$42)</f>
        <v>2</v>
      </c>
      <c r="O9">
        <f>IF(COLUMN()-2&lt;=12,Assumptions!$B$42,Assumptions!$C$42)</f>
        <v>8</v>
      </c>
      <c r="P9">
        <f>IF(COLUMN()-2&lt;=12,Assumptions!$B$42,Assumptions!$C$42)</f>
        <v>8</v>
      </c>
      <c r="Q9">
        <f>IF(COLUMN()-2&lt;=12,Assumptions!$B$42,Assumptions!$C$42)</f>
        <v>8</v>
      </c>
      <c r="R9">
        <f>IF(COLUMN()-2&lt;=12,Assumptions!$B$42,Assumptions!$C$42)</f>
        <v>8</v>
      </c>
      <c r="S9">
        <f>IF(COLUMN()-2&lt;=12,Assumptions!$B$42,Assumptions!$C$42)</f>
        <v>8</v>
      </c>
      <c r="T9">
        <f>IF(COLUMN()-2&lt;=12,Assumptions!$B$42,Assumptions!$C$42)</f>
        <v>8</v>
      </c>
      <c r="U9">
        <f>IF(COLUMN()-2&lt;=12,Assumptions!$B$42,Assumptions!$C$42)</f>
        <v>8</v>
      </c>
      <c r="V9">
        <f>IF(COLUMN()-2&lt;=12,Assumptions!$B$42,Assumptions!$C$42)</f>
        <v>8</v>
      </c>
      <c r="W9">
        <f>IF(COLUMN()-2&lt;=12,Assumptions!$B$42,Assumptions!$C$42)</f>
        <v>8</v>
      </c>
      <c r="X9">
        <f>IF(COLUMN()-2&lt;=12,Assumptions!$B$42,Assumptions!$C$42)</f>
        <v>8</v>
      </c>
      <c r="Y9">
        <f>IF(COLUMN()-2&lt;=12,Assumptions!$B$42,Assumptions!$C$42)</f>
        <v>8</v>
      </c>
      <c r="Z9">
        <f>IF(COLUMN()-2&lt;=12,Assumptions!$B$42,Assumptions!$C$42)</f>
        <v>8</v>
      </c>
    </row>
    <row r="10" spans="1:26" x14ac:dyDescent="0.35">
      <c r="A10" s="343" t="s">
        <v>24</v>
      </c>
      <c r="C10" s="409">
        <f>IF(COLUMN()-2&lt;=12,Assumptions!$B$43,Assumptions!$C$43)</f>
        <v>1</v>
      </c>
      <c r="D10">
        <f>IF(COLUMN()-2&lt;=12,Assumptions!$B$43,Assumptions!$C$43)</f>
        <v>1</v>
      </c>
      <c r="E10">
        <f>IF(COLUMN()-2&lt;=12,Assumptions!$B$43,Assumptions!$C$43)</f>
        <v>1</v>
      </c>
      <c r="F10">
        <f>IF(COLUMN()-2&lt;=12,Assumptions!$B$43,Assumptions!$C$43)</f>
        <v>1</v>
      </c>
      <c r="G10">
        <f>IF(COLUMN()-2&lt;=12,Assumptions!$B$43,Assumptions!$C$43)</f>
        <v>1</v>
      </c>
      <c r="H10">
        <f>IF(COLUMN()-2&lt;=12,Assumptions!$B$43,Assumptions!$C$43)</f>
        <v>1</v>
      </c>
      <c r="I10">
        <f>IF(COLUMN()-2&lt;=12,Assumptions!$B$43,Assumptions!$C$43)</f>
        <v>1</v>
      </c>
      <c r="J10">
        <f>IF(COLUMN()-2&lt;=12,Assumptions!$B$43,Assumptions!$C$43)</f>
        <v>1</v>
      </c>
      <c r="K10">
        <f>IF(COLUMN()-2&lt;=12,Assumptions!$B$43,Assumptions!$C$43)</f>
        <v>1</v>
      </c>
      <c r="L10">
        <f>IF(COLUMN()-2&lt;=12,Assumptions!$B$43,Assumptions!$C$43)</f>
        <v>1</v>
      </c>
      <c r="M10">
        <f>IF(COLUMN()-2&lt;=12,Assumptions!$B$43,Assumptions!$C$43)</f>
        <v>1</v>
      </c>
      <c r="N10">
        <f>IF(COLUMN()-2&lt;=12,Assumptions!$B$43,Assumptions!$C$43)</f>
        <v>1</v>
      </c>
      <c r="O10">
        <f>IF(COLUMN()-2&lt;=12,Assumptions!$B$43,Assumptions!$C$43)</f>
        <v>4</v>
      </c>
      <c r="P10">
        <f>IF(COLUMN()-2&lt;=12,Assumptions!$B$43,Assumptions!$C$43)</f>
        <v>4</v>
      </c>
      <c r="Q10">
        <f>IF(COLUMN()-2&lt;=12,Assumptions!$B$43,Assumptions!$C$43)</f>
        <v>4</v>
      </c>
      <c r="R10">
        <f>IF(COLUMN()-2&lt;=12,Assumptions!$B$43,Assumptions!$C$43)</f>
        <v>4</v>
      </c>
      <c r="S10">
        <f>IF(COLUMN()-2&lt;=12,Assumptions!$B$43,Assumptions!$C$43)</f>
        <v>4</v>
      </c>
      <c r="T10">
        <f>IF(COLUMN()-2&lt;=12,Assumptions!$B$43,Assumptions!$C$43)</f>
        <v>4</v>
      </c>
      <c r="U10">
        <f>IF(COLUMN()-2&lt;=12,Assumptions!$B$43,Assumptions!$C$43)</f>
        <v>4</v>
      </c>
      <c r="V10">
        <f>IF(COLUMN()-2&lt;=12,Assumptions!$B$43,Assumptions!$C$43)</f>
        <v>4</v>
      </c>
      <c r="W10">
        <f>IF(COLUMN()-2&lt;=12,Assumptions!$B$43,Assumptions!$C$43)</f>
        <v>4</v>
      </c>
      <c r="X10">
        <f>IF(COLUMN()-2&lt;=12,Assumptions!$B$43,Assumptions!$C$43)</f>
        <v>4</v>
      </c>
      <c r="Y10">
        <f>IF(COLUMN()-2&lt;=12,Assumptions!$B$43,Assumptions!$C$43)</f>
        <v>4</v>
      </c>
      <c r="Z10">
        <f>IF(COLUMN()-2&lt;=12,Assumptions!$B$43,Assumptions!$C$43)</f>
        <v>4</v>
      </c>
    </row>
    <row r="11" spans="1:26" x14ac:dyDescent="0.35">
      <c r="A11" s="343" t="s">
        <v>4852</v>
      </c>
      <c r="C11" s="412">
        <f>IF(COLUMN()-2&lt;=12,0.5,0.7)</f>
        <v>0.5</v>
      </c>
      <c r="D11" s="396">
        <f t="shared" ref="D11:Z11" si="2">IF(COLUMN()-2&lt;=12,0.5,0.7)</f>
        <v>0.5</v>
      </c>
      <c r="E11" s="396">
        <f t="shared" si="2"/>
        <v>0.5</v>
      </c>
      <c r="F11" s="396">
        <f t="shared" si="2"/>
        <v>0.5</v>
      </c>
      <c r="G11" s="396">
        <f t="shared" si="2"/>
        <v>0.5</v>
      </c>
      <c r="H11" s="396">
        <f t="shared" si="2"/>
        <v>0.5</v>
      </c>
      <c r="I11" s="396">
        <f t="shared" si="2"/>
        <v>0.5</v>
      </c>
      <c r="J11" s="396">
        <f t="shared" si="2"/>
        <v>0.5</v>
      </c>
      <c r="K11" s="396">
        <f t="shared" si="2"/>
        <v>0.5</v>
      </c>
      <c r="L11" s="396">
        <f t="shared" si="2"/>
        <v>0.5</v>
      </c>
      <c r="M11" s="396">
        <f t="shared" si="2"/>
        <v>0.5</v>
      </c>
      <c r="N11" s="396">
        <f t="shared" si="2"/>
        <v>0.5</v>
      </c>
      <c r="O11" s="396">
        <f t="shared" si="2"/>
        <v>0.7</v>
      </c>
      <c r="P11" s="396">
        <f t="shared" si="2"/>
        <v>0.7</v>
      </c>
      <c r="Q11" s="396">
        <f t="shared" si="2"/>
        <v>0.7</v>
      </c>
      <c r="R11" s="396">
        <f t="shared" si="2"/>
        <v>0.7</v>
      </c>
      <c r="S11" s="396">
        <f t="shared" si="2"/>
        <v>0.7</v>
      </c>
      <c r="T11" s="396">
        <f t="shared" si="2"/>
        <v>0.7</v>
      </c>
      <c r="U11" s="396">
        <f t="shared" si="2"/>
        <v>0.7</v>
      </c>
      <c r="V11" s="396">
        <f t="shared" si="2"/>
        <v>0.7</v>
      </c>
      <c r="W11" s="396">
        <f t="shared" si="2"/>
        <v>0.7</v>
      </c>
      <c r="X11" s="396">
        <f t="shared" si="2"/>
        <v>0.7</v>
      </c>
      <c r="Y11" s="396">
        <f t="shared" si="2"/>
        <v>0.7</v>
      </c>
      <c r="Z11" s="396">
        <f t="shared" si="2"/>
        <v>0.7</v>
      </c>
    </row>
    <row r="12" spans="1:26" x14ac:dyDescent="0.35">
      <c r="A12" s="186" t="s">
        <v>4853</v>
      </c>
      <c r="C12" s="413">
        <f>C9*IF(COLUMN()-2&lt;=12,Assumptions!$B$44,Assumptions!$C$44)*Assumptions!$E$25*C11</f>
        <v>15</v>
      </c>
      <c r="D12" s="380">
        <f>D9*IF(COLUMN()-2&lt;=12,Assumptions!$B$44,Assumptions!$C$44)*Assumptions!$E$25*D11</f>
        <v>15</v>
      </c>
      <c r="E12" s="380">
        <f>E9*IF(COLUMN()-2&lt;=12,Assumptions!$B$44,Assumptions!$C$44)*Assumptions!$E$25*E11</f>
        <v>15</v>
      </c>
      <c r="F12" s="380">
        <f>F9*IF(COLUMN()-2&lt;=12,Assumptions!$B$44,Assumptions!$C$44)*Assumptions!$E$25*F11</f>
        <v>15</v>
      </c>
      <c r="G12" s="380">
        <f>G9*IF(COLUMN()-2&lt;=12,Assumptions!$B$44,Assumptions!$C$44)*Assumptions!$E$25*G11</f>
        <v>15</v>
      </c>
      <c r="H12" s="380">
        <f>H9*IF(COLUMN()-2&lt;=12,Assumptions!$B$44,Assumptions!$C$44)*Assumptions!$E$25*H11</f>
        <v>15</v>
      </c>
      <c r="I12" s="380">
        <f>I9*IF(COLUMN()-2&lt;=12,Assumptions!$B$44,Assumptions!$C$44)*Assumptions!$E$25*I11</f>
        <v>15</v>
      </c>
      <c r="J12" s="380">
        <f>J9*IF(COLUMN()-2&lt;=12,Assumptions!$B$44,Assumptions!$C$44)*Assumptions!$E$25*J11</f>
        <v>15</v>
      </c>
      <c r="K12" s="380">
        <f>K9*IF(COLUMN()-2&lt;=12,Assumptions!$B$44,Assumptions!$C$44)*Assumptions!$E$25*K11</f>
        <v>15</v>
      </c>
      <c r="L12" s="380">
        <f>L9*IF(COLUMN()-2&lt;=12,Assumptions!$B$44,Assumptions!$C$44)*Assumptions!$E$25*L11</f>
        <v>15</v>
      </c>
      <c r="M12" s="380">
        <f>M9*IF(COLUMN()-2&lt;=12,Assumptions!$B$44,Assumptions!$C$44)*Assumptions!$E$25*M11</f>
        <v>15</v>
      </c>
      <c r="N12" s="380">
        <f>N9*IF(COLUMN()-2&lt;=12,Assumptions!$B$44,Assumptions!$C$44)*Assumptions!$E$25*N11</f>
        <v>15</v>
      </c>
      <c r="O12" s="380">
        <f>O9*IF(COLUMN()-2&lt;=12,Assumptions!$B$44,Assumptions!$C$44)*Assumptions!$E$25*O11</f>
        <v>117.6</v>
      </c>
      <c r="P12" s="380">
        <f>P9*IF(COLUMN()-2&lt;=12,Assumptions!$B$44,Assumptions!$C$44)*Assumptions!$E$25*P11</f>
        <v>117.6</v>
      </c>
      <c r="Q12" s="380">
        <f>Q9*IF(COLUMN()-2&lt;=12,Assumptions!$B$44,Assumptions!$C$44)*Assumptions!$E$25*Q11</f>
        <v>117.6</v>
      </c>
      <c r="R12" s="380">
        <f>R9*IF(COLUMN()-2&lt;=12,Assumptions!$B$44,Assumptions!$C$44)*Assumptions!$E$25*R11</f>
        <v>117.6</v>
      </c>
      <c r="S12" s="380">
        <f>S9*IF(COLUMN()-2&lt;=12,Assumptions!$B$44,Assumptions!$C$44)*Assumptions!$E$25*S11</f>
        <v>117.6</v>
      </c>
      <c r="T12" s="380">
        <f>T9*IF(COLUMN()-2&lt;=12,Assumptions!$B$44,Assumptions!$C$44)*Assumptions!$E$25*T11</f>
        <v>117.6</v>
      </c>
      <c r="U12" s="380">
        <f>U9*IF(COLUMN()-2&lt;=12,Assumptions!$B$44,Assumptions!$C$44)*Assumptions!$E$25*U11</f>
        <v>117.6</v>
      </c>
      <c r="V12" s="380">
        <f>V9*IF(COLUMN()-2&lt;=12,Assumptions!$B$44,Assumptions!$C$44)*Assumptions!$E$25*V11</f>
        <v>117.6</v>
      </c>
      <c r="W12" s="380">
        <f>W9*IF(COLUMN()-2&lt;=12,Assumptions!$B$44,Assumptions!$C$44)*Assumptions!$E$25*W11</f>
        <v>117.6</v>
      </c>
      <c r="X12" s="380">
        <f>X9*IF(COLUMN()-2&lt;=12,Assumptions!$B$44,Assumptions!$C$44)*Assumptions!$E$25*X11</f>
        <v>117.6</v>
      </c>
      <c r="Y12" s="380">
        <f>Y9*IF(COLUMN()-2&lt;=12,Assumptions!$B$44,Assumptions!$C$44)*Assumptions!$E$25*Y11</f>
        <v>117.6</v>
      </c>
      <c r="Z12" s="380">
        <f>Z9*IF(COLUMN()-2&lt;=12,Assumptions!$B$44,Assumptions!$C$44)*Assumptions!$E$25*Z11</f>
        <v>117.6</v>
      </c>
    </row>
    <row r="14" spans="1:26" x14ac:dyDescent="0.35">
      <c r="A14" s="388" t="s">
        <v>4854</v>
      </c>
    </row>
    <row r="15" spans="1:26" x14ac:dyDescent="0.35">
      <c r="A15" t="s">
        <v>4855</v>
      </c>
      <c r="C15" s="413">
        <f>C12*Assumptions!$E$29</f>
        <v>7500000</v>
      </c>
      <c r="D15" s="380">
        <f>D12*Assumptions!$E$29</f>
        <v>7500000</v>
      </c>
      <c r="E15" s="380">
        <f>E12*Assumptions!$E$29</f>
        <v>7500000</v>
      </c>
      <c r="F15" s="380">
        <f>F12*Assumptions!$E$29</f>
        <v>7500000</v>
      </c>
      <c r="G15" s="380">
        <f>G12*Assumptions!$E$29</f>
        <v>7500000</v>
      </c>
      <c r="H15" s="380">
        <f>H12*Assumptions!$E$29</f>
        <v>7500000</v>
      </c>
      <c r="I15" s="380">
        <f>I12*Assumptions!$E$29</f>
        <v>7500000</v>
      </c>
      <c r="J15" s="380">
        <f>J12*Assumptions!$E$29</f>
        <v>7500000</v>
      </c>
      <c r="K15" s="380">
        <f>K12*Assumptions!$E$29</f>
        <v>7500000</v>
      </c>
      <c r="L15" s="380">
        <f>L12*Assumptions!$E$29</f>
        <v>7500000</v>
      </c>
      <c r="M15" s="380">
        <f>M12*Assumptions!$E$29</f>
        <v>7500000</v>
      </c>
      <c r="N15" s="380">
        <f>N12*Assumptions!$E$29</f>
        <v>7500000</v>
      </c>
      <c r="O15" s="380">
        <f>O12*Assumptions!$E$29</f>
        <v>58800000</v>
      </c>
      <c r="P15" s="380">
        <f>P12*Assumptions!$E$29</f>
        <v>58800000</v>
      </c>
      <c r="Q15" s="380">
        <f>Q12*Assumptions!$E$29</f>
        <v>58800000</v>
      </c>
      <c r="R15" s="380">
        <f>R12*Assumptions!$E$29</f>
        <v>58800000</v>
      </c>
      <c r="S15" s="380">
        <f>S12*Assumptions!$E$29</f>
        <v>58800000</v>
      </c>
      <c r="T15" s="380">
        <f>T12*Assumptions!$E$29</f>
        <v>58800000</v>
      </c>
      <c r="U15" s="380">
        <f>U12*Assumptions!$E$29</f>
        <v>58800000</v>
      </c>
      <c r="V15" s="380">
        <f>V12*Assumptions!$E$29</f>
        <v>58800000</v>
      </c>
      <c r="W15" s="380">
        <f>W12*Assumptions!$E$29</f>
        <v>58800000</v>
      </c>
      <c r="X15" s="380">
        <f>X12*Assumptions!$E$29</f>
        <v>58800000</v>
      </c>
      <c r="Y15" s="380">
        <f>Y12*Assumptions!$E$29</f>
        <v>58800000</v>
      </c>
      <c r="Z15" s="380">
        <f>Z12*Assumptions!$E$29</f>
        <v>58800000</v>
      </c>
    </row>
    <row r="16" spans="1:26" x14ac:dyDescent="0.35">
      <c r="A16" t="s">
        <v>4856</v>
      </c>
      <c r="C16" s="413">
        <f>C10*IF(COLUMN()-2&lt;=12,Assumptions!$B$45,Assumptions!$C$45)*Assumptions!$E$26*Assumptions!$E$30</f>
        <v>23520000</v>
      </c>
      <c r="D16" s="380">
        <f>D10*IF(COLUMN()-2&lt;=12,Assumptions!$B$45,Assumptions!$C$45)*Assumptions!$E$26*Assumptions!$E$30</f>
        <v>23520000</v>
      </c>
      <c r="E16" s="380">
        <f>E10*IF(COLUMN()-2&lt;=12,Assumptions!$B$45,Assumptions!$C$45)*Assumptions!$E$26*Assumptions!$E$30</f>
        <v>23520000</v>
      </c>
      <c r="F16" s="380">
        <f>F10*IF(COLUMN()-2&lt;=12,Assumptions!$B$45,Assumptions!$C$45)*Assumptions!$E$26*Assumptions!$E$30</f>
        <v>23520000</v>
      </c>
      <c r="G16" s="380">
        <f>G10*IF(COLUMN()-2&lt;=12,Assumptions!$B$45,Assumptions!$C$45)*Assumptions!$E$26*Assumptions!$E$30</f>
        <v>23520000</v>
      </c>
      <c r="H16" s="380">
        <f>H10*IF(COLUMN()-2&lt;=12,Assumptions!$B$45,Assumptions!$C$45)*Assumptions!$E$26*Assumptions!$E$30</f>
        <v>23520000</v>
      </c>
      <c r="I16" s="380">
        <f>I10*IF(COLUMN()-2&lt;=12,Assumptions!$B$45,Assumptions!$C$45)*Assumptions!$E$26*Assumptions!$E$30</f>
        <v>23520000</v>
      </c>
      <c r="J16" s="380">
        <f>J10*IF(COLUMN()-2&lt;=12,Assumptions!$B$45,Assumptions!$C$45)*Assumptions!$E$26*Assumptions!$E$30</f>
        <v>23520000</v>
      </c>
      <c r="K16" s="380">
        <f>K10*IF(COLUMN()-2&lt;=12,Assumptions!$B$45,Assumptions!$C$45)*Assumptions!$E$26*Assumptions!$E$30</f>
        <v>23520000</v>
      </c>
      <c r="L16" s="380">
        <f>L10*IF(COLUMN()-2&lt;=12,Assumptions!$B$45,Assumptions!$C$45)*Assumptions!$E$26*Assumptions!$E$30</f>
        <v>23520000</v>
      </c>
      <c r="M16" s="380">
        <f>M10*IF(COLUMN()-2&lt;=12,Assumptions!$B$45,Assumptions!$C$45)*Assumptions!$E$26*Assumptions!$E$30</f>
        <v>23520000</v>
      </c>
      <c r="N16" s="380">
        <f>N10*IF(COLUMN()-2&lt;=12,Assumptions!$B$45,Assumptions!$C$45)*Assumptions!$E$26*Assumptions!$E$30</f>
        <v>23520000</v>
      </c>
      <c r="O16" s="380">
        <f>O10*IF(COLUMN()-2&lt;=12,Assumptions!$B$45,Assumptions!$C$45)*Assumptions!$E$26*Assumptions!$E$30</f>
        <v>94080000</v>
      </c>
      <c r="P16" s="380">
        <f>P10*IF(COLUMN()-2&lt;=12,Assumptions!$B$45,Assumptions!$C$45)*Assumptions!$E$26*Assumptions!$E$30</f>
        <v>94080000</v>
      </c>
      <c r="Q16" s="380">
        <f>Q10*IF(COLUMN()-2&lt;=12,Assumptions!$B$45,Assumptions!$C$45)*Assumptions!$E$26*Assumptions!$E$30</f>
        <v>94080000</v>
      </c>
      <c r="R16" s="380">
        <f>R10*IF(COLUMN()-2&lt;=12,Assumptions!$B$45,Assumptions!$C$45)*Assumptions!$E$26*Assumptions!$E$30</f>
        <v>94080000</v>
      </c>
      <c r="S16" s="380">
        <f>S10*IF(COLUMN()-2&lt;=12,Assumptions!$B$45,Assumptions!$C$45)*Assumptions!$E$26*Assumptions!$E$30</f>
        <v>94080000</v>
      </c>
      <c r="T16" s="380">
        <f>T10*IF(COLUMN()-2&lt;=12,Assumptions!$B$45,Assumptions!$C$45)*Assumptions!$E$26*Assumptions!$E$30</f>
        <v>94080000</v>
      </c>
      <c r="U16" s="380">
        <f>U10*IF(COLUMN()-2&lt;=12,Assumptions!$B$45,Assumptions!$C$45)*Assumptions!$E$26*Assumptions!$E$30</f>
        <v>94080000</v>
      </c>
      <c r="V16" s="380">
        <f>V10*IF(COLUMN()-2&lt;=12,Assumptions!$B$45,Assumptions!$C$45)*Assumptions!$E$26*Assumptions!$E$30</f>
        <v>94080000</v>
      </c>
      <c r="W16" s="380">
        <f>W10*IF(COLUMN()-2&lt;=12,Assumptions!$B$45,Assumptions!$C$45)*Assumptions!$E$26*Assumptions!$E$30</f>
        <v>94080000</v>
      </c>
      <c r="X16" s="380">
        <f>X10*IF(COLUMN()-2&lt;=12,Assumptions!$B$45,Assumptions!$C$45)*Assumptions!$E$26*Assumptions!$E$30</f>
        <v>94080000</v>
      </c>
      <c r="Y16" s="380">
        <f>Y10*IF(COLUMN()-2&lt;=12,Assumptions!$B$45,Assumptions!$C$45)*Assumptions!$E$26*Assumptions!$E$30</f>
        <v>94080000</v>
      </c>
      <c r="Z16" s="380">
        <f>Z10*IF(COLUMN()-2&lt;=12,Assumptions!$B$45,Assumptions!$C$45)*Assumptions!$E$26*Assumptions!$E$30</f>
        <v>94080000</v>
      </c>
    </row>
    <row r="17" spans="1:26" x14ac:dyDescent="0.35">
      <c r="A17" s="389" t="s">
        <v>4857</v>
      </c>
      <c r="C17" s="413">
        <f>IF(COLUMN()-2&lt;=12,5000000,20000000)</f>
        <v>5000000</v>
      </c>
      <c r="D17" s="380">
        <f t="shared" ref="D17:Z17" si="3">IF(COLUMN()-2&lt;=12,5000000,20000000)</f>
        <v>5000000</v>
      </c>
      <c r="E17" s="380">
        <f t="shared" si="3"/>
        <v>5000000</v>
      </c>
      <c r="F17" s="380">
        <f t="shared" si="3"/>
        <v>5000000</v>
      </c>
      <c r="G17" s="380">
        <f t="shared" si="3"/>
        <v>5000000</v>
      </c>
      <c r="H17" s="380">
        <f t="shared" si="3"/>
        <v>5000000</v>
      </c>
      <c r="I17" s="380">
        <f t="shared" si="3"/>
        <v>5000000</v>
      </c>
      <c r="J17" s="380">
        <f t="shared" si="3"/>
        <v>5000000</v>
      </c>
      <c r="K17" s="380">
        <f t="shared" si="3"/>
        <v>5000000</v>
      </c>
      <c r="L17" s="380">
        <f t="shared" si="3"/>
        <v>5000000</v>
      </c>
      <c r="M17" s="380">
        <f t="shared" si="3"/>
        <v>5000000</v>
      </c>
      <c r="N17" s="380">
        <f t="shared" si="3"/>
        <v>5000000</v>
      </c>
      <c r="O17" s="380">
        <f t="shared" si="3"/>
        <v>20000000</v>
      </c>
      <c r="P17" s="380">
        <f t="shared" si="3"/>
        <v>20000000</v>
      </c>
      <c r="Q17" s="380">
        <f t="shared" si="3"/>
        <v>20000000</v>
      </c>
      <c r="R17" s="380">
        <f t="shared" si="3"/>
        <v>20000000</v>
      </c>
      <c r="S17" s="380">
        <f t="shared" si="3"/>
        <v>20000000</v>
      </c>
      <c r="T17" s="380">
        <f t="shared" si="3"/>
        <v>20000000</v>
      </c>
      <c r="U17" s="380">
        <f t="shared" si="3"/>
        <v>20000000</v>
      </c>
      <c r="V17" s="380">
        <f t="shared" si="3"/>
        <v>20000000</v>
      </c>
      <c r="W17" s="380">
        <f t="shared" si="3"/>
        <v>20000000</v>
      </c>
      <c r="X17" s="380">
        <f t="shared" si="3"/>
        <v>20000000</v>
      </c>
      <c r="Y17" s="380">
        <f t="shared" si="3"/>
        <v>20000000</v>
      </c>
      <c r="Z17" s="380">
        <f t="shared" si="3"/>
        <v>20000000</v>
      </c>
    </row>
    <row r="18" spans="1:26" x14ac:dyDescent="0.35">
      <c r="A18" s="389" t="s">
        <v>4858</v>
      </c>
      <c r="C18" s="413">
        <f>IF(COLUMN()-2&lt;=12,2000000,5000000)</f>
        <v>2000000</v>
      </c>
      <c r="D18" s="380">
        <f t="shared" ref="D18:Z18" si="4">IF(COLUMN()-2&lt;=12,2000000,5000000)</f>
        <v>2000000</v>
      </c>
      <c r="E18" s="380">
        <f t="shared" si="4"/>
        <v>2000000</v>
      </c>
      <c r="F18" s="380">
        <f t="shared" si="4"/>
        <v>2000000</v>
      </c>
      <c r="G18" s="380">
        <f t="shared" si="4"/>
        <v>2000000</v>
      </c>
      <c r="H18" s="380">
        <f t="shared" si="4"/>
        <v>2000000</v>
      </c>
      <c r="I18" s="380">
        <f t="shared" si="4"/>
        <v>2000000</v>
      </c>
      <c r="J18" s="380">
        <f t="shared" si="4"/>
        <v>2000000</v>
      </c>
      <c r="K18" s="380">
        <f t="shared" si="4"/>
        <v>2000000</v>
      </c>
      <c r="L18" s="380">
        <f t="shared" si="4"/>
        <v>2000000</v>
      </c>
      <c r="M18" s="380">
        <f t="shared" si="4"/>
        <v>2000000</v>
      </c>
      <c r="N18" s="380">
        <f t="shared" si="4"/>
        <v>2000000</v>
      </c>
      <c r="O18" s="380">
        <f t="shared" si="4"/>
        <v>5000000</v>
      </c>
      <c r="P18" s="380">
        <f t="shared" si="4"/>
        <v>5000000</v>
      </c>
      <c r="Q18" s="380">
        <f t="shared" si="4"/>
        <v>5000000</v>
      </c>
      <c r="R18" s="380">
        <f t="shared" si="4"/>
        <v>5000000</v>
      </c>
      <c r="S18" s="380">
        <f t="shared" si="4"/>
        <v>5000000</v>
      </c>
      <c r="T18" s="380">
        <f t="shared" si="4"/>
        <v>5000000</v>
      </c>
      <c r="U18" s="380">
        <f t="shared" si="4"/>
        <v>5000000</v>
      </c>
      <c r="V18" s="380">
        <f t="shared" si="4"/>
        <v>5000000</v>
      </c>
      <c r="W18" s="380">
        <f t="shared" si="4"/>
        <v>5000000</v>
      </c>
      <c r="X18" s="380">
        <f t="shared" si="4"/>
        <v>5000000</v>
      </c>
      <c r="Y18" s="380">
        <f t="shared" si="4"/>
        <v>5000000</v>
      </c>
      <c r="Z18" s="380">
        <f t="shared" si="4"/>
        <v>5000000</v>
      </c>
    </row>
    <row r="19" spans="1:26" x14ac:dyDescent="0.35">
      <c r="A19" s="389" t="s">
        <v>4859</v>
      </c>
      <c r="C19" s="413">
        <f>IF(COLUMN()-2&lt;=12,500000,2000000)</f>
        <v>500000</v>
      </c>
      <c r="D19" s="380">
        <f t="shared" ref="D19:Z19" si="5">IF(COLUMN()-2&lt;=12,500000,2000000)</f>
        <v>500000</v>
      </c>
      <c r="E19" s="380">
        <f t="shared" si="5"/>
        <v>500000</v>
      </c>
      <c r="F19" s="380">
        <f t="shared" si="5"/>
        <v>500000</v>
      </c>
      <c r="G19" s="380">
        <f t="shared" si="5"/>
        <v>500000</v>
      </c>
      <c r="H19" s="380">
        <f t="shared" si="5"/>
        <v>500000</v>
      </c>
      <c r="I19" s="380">
        <f t="shared" si="5"/>
        <v>500000</v>
      </c>
      <c r="J19" s="380">
        <f t="shared" si="5"/>
        <v>500000</v>
      </c>
      <c r="K19" s="380">
        <f t="shared" si="5"/>
        <v>500000</v>
      </c>
      <c r="L19" s="380">
        <f t="shared" si="5"/>
        <v>500000</v>
      </c>
      <c r="M19" s="380">
        <f t="shared" si="5"/>
        <v>500000</v>
      </c>
      <c r="N19" s="380">
        <f t="shared" si="5"/>
        <v>500000</v>
      </c>
      <c r="O19" s="380">
        <f t="shared" si="5"/>
        <v>2000000</v>
      </c>
      <c r="P19" s="380">
        <f t="shared" si="5"/>
        <v>2000000</v>
      </c>
      <c r="Q19" s="380">
        <f t="shared" si="5"/>
        <v>2000000</v>
      </c>
      <c r="R19" s="380">
        <f t="shared" si="5"/>
        <v>2000000</v>
      </c>
      <c r="S19" s="380">
        <f t="shared" si="5"/>
        <v>2000000</v>
      </c>
      <c r="T19" s="380">
        <f t="shared" si="5"/>
        <v>2000000</v>
      </c>
      <c r="U19" s="380">
        <f t="shared" si="5"/>
        <v>2000000</v>
      </c>
      <c r="V19" s="380">
        <f t="shared" si="5"/>
        <v>2000000</v>
      </c>
      <c r="W19" s="380">
        <f t="shared" si="5"/>
        <v>2000000</v>
      </c>
      <c r="X19" s="380">
        <f t="shared" si="5"/>
        <v>2000000</v>
      </c>
      <c r="Y19" s="380">
        <f t="shared" si="5"/>
        <v>2000000</v>
      </c>
      <c r="Z19" s="380">
        <f t="shared" si="5"/>
        <v>2000000</v>
      </c>
    </row>
    <row r="20" spans="1:26" x14ac:dyDescent="0.35">
      <c r="A20" s="389" t="s">
        <v>4860</v>
      </c>
      <c r="C20" s="413">
        <f>IF(COLUMN()-2&lt;=12,2000000,5000000)</f>
        <v>2000000</v>
      </c>
      <c r="D20" s="380">
        <f t="shared" ref="D20:Z20" si="6">IF(COLUMN()-2&lt;=12,2000000,5000000)</f>
        <v>2000000</v>
      </c>
      <c r="E20" s="380">
        <f t="shared" si="6"/>
        <v>2000000</v>
      </c>
      <c r="F20" s="380">
        <f t="shared" si="6"/>
        <v>2000000</v>
      </c>
      <c r="G20" s="380">
        <f t="shared" si="6"/>
        <v>2000000</v>
      </c>
      <c r="H20" s="380">
        <f t="shared" si="6"/>
        <v>2000000</v>
      </c>
      <c r="I20" s="380">
        <f t="shared" si="6"/>
        <v>2000000</v>
      </c>
      <c r="J20" s="380">
        <f t="shared" si="6"/>
        <v>2000000</v>
      </c>
      <c r="K20" s="380">
        <f t="shared" si="6"/>
        <v>2000000</v>
      </c>
      <c r="L20" s="380">
        <f t="shared" si="6"/>
        <v>2000000</v>
      </c>
      <c r="M20" s="380">
        <f t="shared" si="6"/>
        <v>2000000</v>
      </c>
      <c r="N20" s="380">
        <f t="shared" si="6"/>
        <v>2000000</v>
      </c>
      <c r="O20" s="380">
        <f t="shared" si="6"/>
        <v>5000000</v>
      </c>
      <c r="P20" s="380">
        <f t="shared" si="6"/>
        <v>5000000</v>
      </c>
      <c r="Q20" s="380">
        <f t="shared" si="6"/>
        <v>5000000</v>
      </c>
      <c r="R20" s="380">
        <f t="shared" si="6"/>
        <v>5000000</v>
      </c>
      <c r="S20" s="380">
        <f t="shared" si="6"/>
        <v>5000000</v>
      </c>
      <c r="T20" s="380">
        <f t="shared" si="6"/>
        <v>5000000</v>
      </c>
      <c r="U20" s="380">
        <f t="shared" si="6"/>
        <v>5000000</v>
      </c>
      <c r="V20" s="380">
        <f t="shared" si="6"/>
        <v>5000000</v>
      </c>
      <c r="W20" s="380">
        <f t="shared" si="6"/>
        <v>5000000</v>
      </c>
      <c r="X20" s="380">
        <f t="shared" si="6"/>
        <v>5000000</v>
      </c>
      <c r="Y20" s="380">
        <f t="shared" si="6"/>
        <v>5000000</v>
      </c>
      <c r="Z20" s="380">
        <f t="shared" si="6"/>
        <v>5000000</v>
      </c>
    </row>
    <row r="21" spans="1:26" x14ac:dyDescent="0.35">
      <c r="A21" s="390" t="s">
        <v>2745</v>
      </c>
      <c r="C21" s="414">
        <f>SUM(C15:C20)</f>
        <v>40520000</v>
      </c>
      <c r="D21" s="397">
        <f t="shared" ref="D21:Z21" si="7">SUM(D15:D20)</f>
        <v>40520000</v>
      </c>
      <c r="E21" s="397">
        <f t="shared" si="7"/>
        <v>40520000</v>
      </c>
      <c r="F21" s="397">
        <f t="shared" si="7"/>
        <v>40520000</v>
      </c>
      <c r="G21" s="397">
        <f t="shared" si="7"/>
        <v>40520000</v>
      </c>
      <c r="H21" s="397">
        <f t="shared" si="7"/>
        <v>40520000</v>
      </c>
      <c r="I21" s="397">
        <f t="shared" si="7"/>
        <v>40520000</v>
      </c>
      <c r="J21" s="397">
        <f t="shared" si="7"/>
        <v>40520000</v>
      </c>
      <c r="K21" s="397">
        <f t="shared" si="7"/>
        <v>40520000</v>
      </c>
      <c r="L21" s="397">
        <f t="shared" si="7"/>
        <v>40520000</v>
      </c>
      <c r="M21" s="397">
        <f t="shared" si="7"/>
        <v>40520000</v>
      </c>
      <c r="N21" s="397">
        <f t="shared" si="7"/>
        <v>40520000</v>
      </c>
      <c r="O21" s="397">
        <f t="shared" si="7"/>
        <v>184880000</v>
      </c>
      <c r="P21" s="397">
        <f t="shared" si="7"/>
        <v>184880000</v>
      </c>
      <c r="Q21" s="397">
        <f t="shared" si="7"/>
        <v>184880000</v>
      </c>
      <c r="R21" s="397">
        <f t="shared" si="7"/>
        <v>184880000</v>
      </c>
      <c r="S21" s="397">
        <f t="shared" si="7"/>
        <v>184880000</v>
      </c>
      <c r="T21" s="397">
        <f t="shared" si="7"/>
        <v>184880000</v>
      </c>
      <c r="U21" s="397">
        <f t="shared" si="7"/>
        <v>184880000</v>
      </c>
      <c r="V21" s="397">
        <f t="shared" si="7"/>
        <v>184880000</v>
      </c>
      <c r="W21" s="397">
        <f t="shared" si="7"/>
        <v>184880000</v>
      </c>
      <c r="X21" s="397">
        <f t="shared" si="7"/>
        <v>184880000</v>
      </c>
      <c r="Y21" s="397">
        <f t="shared" si="7"/>
        <v>184880000</v>
      </c>
      <c r="Z21" s="397">
        <f t="shared" si="7"/>
        <v>184880000</v>
      </c>
    </row>
    <row r="23" spans="1:26" x14ac:dyDescent="0.35">
      <c r="A23" s="391" t="s">
        <v>4861</v>
      </c>
    </row>
    <row r="24" spans="1:26" x14ac:dyDescent="0.35">
      <c r="A24" t="s">
        <v>4862</v>
      </c>
      <c r="C24" s="415">
        <f>-C9*'Swap Hub Econ'!$D$15</f>
        <v>-45600000</v>
      </c>
      <c r="D24" s="398">
        <f>-D9*'Swap Hub Econ'!$D$15</f>
        <v>-45600000</v>
      </c>
      <c r="E24" s="398">
        <f>-E9*'Swap Hub Econ'!$D$15</f>
        <v>-45600000</v>
      </c>
      <c r="F24" s="398">
        <f>-F9*'Swap Hub Econ'!$D$15</f>
        <v>-45600000</v>
      </c>
      <c r="G24" s="398">
        <f>-G9*'Swap Hub Econ'!$D$15</f>
        <v>-45600000</v>
      </c>
      <c r="H24" s="398">
        <f>-H9*'Swap Hub Econ'!$D$15</f>
        <v>-45600000</v>
      </c>
      <c r="I24" s="398">
        <f>-I9*'Swap Hub Econ'!$D$15</f>
        <v>-45600000</v>
      </c>
      <c r="J24" s="398">
        <f>-J9*'Swap Hub Econ'!$D$15</f>
        <v>-45600000</v>
      </c>
      <c r="K24" s="398">
        <f>-K9*'Swap Hub Econ'!$D$15</f>
        <v>-45600000</v>
      </c>
      <c r="L24" s="398">
        <f>-L9*'Swap Hub Econ'!$D$15</f>
        <v>-45600000</v>
      </c>
      <c r="M24" s="398">
        <f>-M9*'Swap Hub Econ'!$D$15</f>
        <v>-45600000</v>
      </c>
      <c r="N24" s="398">
        <f>-N9*'Swap Hub Econ'!$D$15</f>
        <v>-45600000</v>
      </c>
      <c r="O24" s="398">
        <f>-O9*'Swap Hub Econ'!$D$15</f>
        <v>-182400000</v>
      </c>
      <c r="P24" s="398">
        <f>-P9*'Swap Hub Econ'!$D$15</f>
        <v>-182400000</v>
      </c>
      <c r="Q24" s="398">
        <f>-Q9*'Swap Hub Econ'!$D$15</f>
        <v>-182400000</v>
      </c>
      <c r="R24" s="398">
        <f>-R9*'Swap Hub Econ'!$D$15</f>
        <v>-182400000</v>
      </c>
      <c r="S24" s="398">
        <f>-S9*'Swap Hub Econ'!$D$15</f>
        <v>-182400000</v>
      </c>
      <c r="T24" s="398">
        <f>-T9*'Swap Hub Econ'!$D$15</f>
        <v>-182400000</v>
      </c>
      <c r="U24" s="398">
        <f>-U9*'Swap Hub Econ'!$D$15</f>
        <v>-182400000</v>
      </c>
      <c r="V24" s="398">
        <f>-V9*'Swap Hub Econ'!$D$15</f>
        <v>-182400000</v>
      </c>
      <c r="W24" s="398">
        <f>-W9*'Swap Hub Econ'!$D$15</f>
        <v>-182400000</v>
      </c>
      <c r="X24" s="398">
        <f>-X9*'Swap Hub Econ'!$D$15</f>
        <v>-182400000</v>
      </c>
      <c r="Y24" s="398">
        <f>-Y9*'Swap Hub Econ'!$D$15</f>
        <v>-182400000</v>
      </c>
      <c r="Z24" s="398">
        <f>-Z9*'Swap Hub Econ'!$D$15</f>
        <v>-182400000</v>
      </c>
    </row>
    <row r="25" spans="1:26" x14ac:dyDescent="0.35">
      <c r="A25" t="s">
        <v>4863</v>
      </c>
      <c r="C25" s="415">
        <f>-C10*'Microgrid Econ'!$D$15</f>
        <v>-5500000</v>
      </c>
      <c r="D25" s="398">
        <f>-D10*'Microgrid Econ'!$D$15</f>
        <v>-5500000</v>
      </c>
      <c r="E25" s="398">
        <f>-E10*'Microgrid Econ'!$D$15</f>
        <v>-5500000</v>
      </c>
      <c r="F25" s="398">
        <f>-F10*'Microgrid Econ'!$D$15</f>
        <v>-5500000</v>
      </c>
      <c r="G25" s="398">
        <f>-G10*'Microgrid Econ'!$D$15</f>
        <v>-5500000</v>
      </c>
      <c r="H25" s="398">
        <f>-H10*'Microgrid Econ'!$D$15</f>
        <v>-5500000</v>
      </c>
      <c r="I25" s="398">
        <f>-I10*'Microgrid Econ'!$D$15</f>
        <v>-5500000</v>
      </c>
      <c r="J25" s="398">
        <f>-J10*'Microgrid Econ'!$D$15</f>
        <v>-5500000</v>
      </c>
      <c r="K25" s="398">
        <f>-K10*'Microgrid Econ'!$D$15</f>
        <v>-5500000</v>
      </c>
      <c r="L25" s="398">
        <f>-L10*'Microgrid Econ'!$D$15</f>
        <v>-5500000</v>
      </c>
      <c r="M25" s="398">
        <f>-M10*'Microgrid Econ'!$D$15</f>
        <v>-5500000</v>
      </c>
      <c r="N25" s="398">
        <f>-N10*'Microgrid Econ'!$D$15</f>
        <v>-5500000</v>
      </c>
      <c r="O25" s="398">
        <f>-O10*'Microgrid Econ'!$D$15</f>
        <v>-22000000</v>
      </c>
      <c r="P25" s="398">
        <f>-P10*'Microgrid Econ'!$D$15</f>
        <v>-22000000</v>
      </c>
      <c r="Q25" s="398">
        <f>-Q10*'Microgrid Econ'!$D$15</f>
        <v>-22000000</v>
      </c>
      <c r="R25" s="398">
        <f>-R10*'Microgrid Econ'!$D$15</f>
        <v>-22000000</v>
      </c>
      <c r="S25" s="398">
        <f>-S10*'Microgrid Econ'!$D$15</f>
        <v>-22000000</v>
      </c>
      <c r="T25" s="398">
        <f>-T10*'Microgrid Econ'!$D$15</f>
        <v>-22000000</v>
      </c>
      <c r="U25" s="398">
        <f>-U10*'Microgrid Econ'!$D$15</f>
        <v>-22000000</v>
      </c>
      <c r="V25" s="398">
        <f>-V10*'Microgrid Econ'!$D$15</f>
        <v>-22000000</v>
      </c>
      <c r="W25" s="398">
        <f>-W10*'Microgrid Econ'!$D$15</f>
        <v>-22000000</v>
      </c>
      <c r="X25" s="398">
        <f>-X10*'Microgrid Econ'!$D$15</f>
        <v>-22000000</v>
      </c>
      <c r="Y25" s="398">
        <f>-Y10*'Microgrid Econ'!$D$15</f>
        <v>-22000000</v>
      </c>
      <c r="Z25" s="398">
        <f>-Z10*'Microgrid Econ'!$D$15</f>
        <v>-22000000</v>
      </c>
    </row>
    <row r="26" spans="1:26" x14ac:dyDescent="0.35">
      <c r="A26" s="389" t="s">
        <v>4864</v>
      </c>
      <c r="C26" s="415">
        <f>-C9*18*0.5/12*RollUp!$E$63</f>
        <v>-10085044.32</v>
      </c>
      <c r="D26" s="398">
        <f>-D9*18*0.5/12*RollUp!$E$63</f>
        <v>-10085044.32</v>
      </c>
      <c r="E26" s="398">
        <f>-E9*18*0.5/12*RollUp!$E$63</f>
        <v>-10085044.32</v>
      </c>
      <c r="F26" s="398">
        <f>-F9*18*0.5/12*RollUp!$E$63</f>
        <v>-10085044.32</v>
      </c>
      <c r="G26" s="398">
        <f>-G9*18*0.5/12*RollUp!$E$63</f>
        <v>-10085044.32</v>
      </c>
      <c r="H26" s="398">
        <f>-H9*18*0.5/12*RollUp!$E$63</f>
        <v>-10085044.32</v>
      </c>
      <c r="I26" s="398">
        <f>-I9*18*0.5/12*RollUp!$E$63</f>
        <v>-10085044.32</v>
      </c>
      <c r="J26" s="398">
        <f>-J9*18*0.5/12*RollUp!$E$63</f>
        <v>-10085044.32</v>
      </c>
      <c r="K26" s="398">
        <f>-K9*18*0.5/12*RollUp!$E$63</f>
        <v>-10085044.32</v>
      </c>
      <c r="L26" s="398">
        <f>-L9*18*0.5/12*RollUp!$E$63</f>
        <v>-10085044.32</v>
      </c>
      <c r="M26" s="398">
        <f>-M9*18*0.5/12*RollUp!$E$63</f>
        <v>-10085044.32</v>
      </c>
      <c r="N26" s="398">
        <f>-N9*18*0.5/12*RollUp!$E$63</f>
        <v>-10085044.32</v>
      </c>
      <c r="O26" s="398">
        <f>-O9*18*0.5/12*RollUp!$E$63</f>
        <v>-40340177.280000001</v>
      </c>
      <c r="P26" s="398">
        <f>-P9*18*0.5/12*RollUp!$E$63</f>
        <v>-40340177.280000001</v>
      </c>
      <c r="Q26" s="398">
        <f>-Q9*18*0.5/12*RollUp!$E$63</f>
        <v>-40340177.280000001</v>
      </c>
      <c r="R26" s="398">
        <f>-R9*18*0.5/12*RollUp!$E$63</f>
        <v>-40340177.280000001</v>
      </c>
      <c r="S26" s="398">
        <f>-S9*18*0.5/12*RollUp!$E$63</f>
        <v>-40340177.280000001</v>
      </c>
      <c r="T26" s="398">
        <f>-T9*18*0.5/12*RollUp!$E$63</f>
        <v>-40340177.280000001</v>
      </c>
      <c r="U26" s="398">
        <f>-U9*18*0.5/12*RollUp!$E$63</f>
        <v>-40340177.280000001</v>
      </c>
      <c r="V26" s="398">
        <f>-V9*18*0.5/12*RollUp!$E$63</f>
        <v>-40340177.280000001</v>
      </c>
      <c r="W26" s="398">
        <f>-W9*18*0.5/12*RollUp!$E$63</f>
        <v>-40340177.280000001</v>
      </c>
      <c r="X26" s="398">
        <f>-X9*18*0.5/12*RollUp!$E$63</f>
        <v>-40340177.280000001</v>
      </c>
      <c r="Y26" s="398">
        <f>-Y9*18*0.5/12*RollUp!$E$63</f>
        <v>-40340177.280000001</v>
      </c>
      <c r="Z26" s="398">
        <f>-Z9*18*0.5/12*RollUp!$E$63</f>
        <v>-40340177.280000001</v>
      </c>
    </row>
    <row r="27" spans="1:26" x14ac:dyDescent="0.35">
      <c r="A27" s="392" t="s">
        <v>4865</v>
      </c>
      <c r="C27" s="416">
        <f>SUM(C24:C26)</f>
        <v>-61185044.32</v>
      </c>
      <c r="D27" s="399">
        <f t="shared" ref="D27:Z27" si="8">SUM(D24:D26)</f>
        <v>-61185044.32</v>
      </c>
      <c r="E27" s="399">
        <f t="shared" si="8"/>
        <v>-61185044.32</v>
      </c>
      <c r="F27" s="399">
        <f t="shared" si="8"/>
        <v>-61185044.32</v>
      </c>
      <c r="G27" s="399">
        <f t="shared" si="8"/>
        <v>-61185044.32</v>
      </c>
      <c r="H27" s="399">
        <f t="shared" si="8"/>
        <v>-61185044.32</v>
      </c>
      <c r="I27" s="399">
        <f t="shared" si="8"/>
        <v>-61185044.32</v>
      </c>
      <c r="J27" s="399">
        <f t="shared" si="8"/>
        <v>-61185044.32</v>
      </c>
      <c r="K27" s="399">
        <f t="shared" si="8"/>
        <v>-61185044.32</v>
      </c>
      <c r="L27" s="399">
        <f t="shared" si="8"/>
        <v>-61185044.32</v>
      </c>
      <c r="M27" s="399">
        <f t="shared" si="8"/>
        <v>-61185044.32</v>
      </c>
      <c r="N27" s="399">
        <f t="shared" si="8"/>
        <v>-61185044.32</v>
      </c>
      <c r="O27" s="399">
        <f t="shared" si="8"/>
        <v>-244740177.28</v>
      </c>
      <c r="P27" s="399">
        <f t="shared" si="8"/>
        <v>-244740177.28</v>
      </c>
      <c r="Q27" s="399">
        <f t="shared" si="8"/>
        <v>-244740177.28</v>
      </c>
      <c r="R27" s="399">
        <f t="shared" si="8"/>
        <v>-244740177.28</v>
      </c>
      <c r="S27" s="399">
        <f t="shared" si="8"/>
        <v>-244740177.28</v>
      </c>
      <c r="T27" s="399">
        <f t="shared" si="8"/>
        <v>-244740177.28</v>
      </c>
      <c r="U27" s="399">
        <f t="shared" si="8"/>
        <v>-244740177.28</v>
      </c>
      <c r="V27" s="399">
        <f t="shared" si="8"/>
        <v>-244740177.28</v>
      </c>
      <c r="W27" s="399">
        <f t="shared" si="8"/>
        <v>-244740177.28</v>
      </c>
      <c r="X27" s="399">
        <f t="shared" si="8"/>
        <v>-244740177.28</v>
      </c>
      <c r="Y27" s="399">
        <f t="shared" si="8"/>
        <v>-244740177.28</v>
      </c>
      <c r="Z27" s="399">
        <f t="shared" si="8"/>
        <v>-244740177.28</v>
      </c>
    </row>
    <row r="28" spans="1:26" x14ac:dyDescent="0.35">
      <c r="A28" s="188" t="s">
        <v>18</v>
      </c>
      <c r="C28" s="417">
        <f>C21+C27</f>
        <v>-20665044.32</v>
      </c>
      <c r="D28" s="400">
        <f t="shared" ref="D28:Z28" si="9">D21+D27</f>
        <v>-20665044.32</v>
      </c>
      <c r="E28" s="400">
        <f t="shared" si="9"/>
        <v>-20665044.32</v>
      </c>
      <c r="F28" s="400">
        <f t="shared" si="9"/>
        <v>-20665044.32</v>
      </c>
      <c r="G28" s="400">
        <f t="shared" si="9"/>
        <v>-20665044.32</v>
      </c>
      <c r="H28" s="400">
        <f t="shared" si="9"/>
        <v>-20665044.32</v>
      </c>
      <c r="I28" s="400">
        <f t="shared" si="9"/>
        <v>-20665044.32</v>
      </c>
      <c r="J28" s="400">
        <f t="shared" si="9"/>
        <v>-20665044.32</v>
      </c>
      <c r="K28" s="400">
        <f t="shared" si="9"/>
        <v>-20665044.32</v>
      </c>
      <c r="L28" s="400">
        <f t="shared" si="9"/>
        <v>-20665044.32</v>
      </c>
      <c r="M28" s="400">
        <f t="shared" si="9"/>
        <v>-20665044.32</v>
      </c>
      <c r="N28" s="400">
        <f t="shared" si="9"/>
        <v>-20665044.32</v>
      </c>
      <c r="O28" s="400">
        <f t="shared" si="9"/>
        <v>-59860177.280000001</v>
      </c>
      <c r="P28" s="400">
        <f t="shared" si="9"/>
        <v>-59860177.280000001</v>
      </c>
      <c r="Q28" s="400">
        <f t="shared" si="9"/>
        <v>-59860177.280000001</v>
      </c>
      <c r="R28" s="400">
        <f t="shared" si="9"/>
        <v>-59860177.280000001</v>
      </c>
      <c r="S28" s="400">
        <f t="shared" si="9"/>
        <v>-59860177.280000001</v>
      </c>
      <c r="T28" s="400">
        <f t="shared" si="9"/>
        <v>-59860177.280000001</v>
      </c>
      <c r="U28" s="400">
        <f t="shared" si="9"/>
        <v>-59860177.280000001</v>
      </c>
      <c r="V28" s="400">
        <f t="shared" si="9"/>
        <v>-59860177.280000001</v>
      </c>
      <c r="W28" s="400">
        <f t="shared" si="9"/>
        <v>-59860177.280000001</v>
      </c>
      <c r="X28" s="400">
        <f t="shared" si="9"/>
        <v>-59860177.280000001</v>
      </c>
      <c r="Y28" s="400">
        <f t="shared" si="9"/>
        <v>-59860177.280000001</v>
      </c>
      <c r="Z28" s="400">
        <f t="shared" si="9"/>
        <v>-59860177.280000001</v>
      </c>
    </row>
    <row r="29" spans="1:26" x14ac:dyDescent="0.35">
      <c r="A29" s="186" t="s">
        <v>2916</v>
      </c>
      <c r="C29" s="418">
        <f>IFERROR(C28/C21,0)</f>
        <v>-0.50999615794669295</v>
      </c>
      <c r="D29" s="191">
        <f t="shared" ref="D29:Z29" si="10">IFERROR(D28/D21,0)</f>
        <v>-0.50999615794669295</v>
      </c>
      <c r="E29" s="191">
        <f t="shared" si="10"/>
        <v>-0.50999615794669295</v>
      </c>
      <c r="F29" s="191">
        <f t="shared" si="10"/>
        <v>-0.50999615794669295</v>
      </c>
      <c r="G29" s="191">
        <f t="shared" si="10"/>
        <v>-0.50999615794669295</v>
      </c>
      <c r="H29" s="191">
        <f t="shared" si="10"/>
        <v>-0.50999615794669295</v>
      </c>
      <c r="I29" s="191">
        <f t="shared" si="10"/>
        <v>-0.50999615794669295</v>
      </c>
      <c r="J29" s="191">
        <f t="shared" si="10"/>
        <v>-0.50999615794669295</v>
      </c>
      <c r="K29" s="191">
        <f t="shared" si="10"/>
        <v>-0.50999615794669295</v>
      </c>
      <c r="L29" s="191">
        <f t="shared" si="10"/>
        <v>-0.50999615794669295</v>
      </c>
      <c r="M29" s="191">
        <f t="shared" si="10"/>
        <v>-0.50999615794669295</v>
      </c>
      <c r="N29" s="191">
        <f t="shared" si="10"/>
        <v>-0.50999615794669295</v>
      </c>
      <c r="O29" s="191">
        <f t="shared" si="10"/>
        <v>-0.32377854435309389</v>
      </c>
      <c r="P29" s="191">
        <f t="shared" si="10"/>
        <v>-0.32377854435309389</v>
      </c>
      <c r="Q29" s="191">
        <f t="shared" si="10"/>
        <v>-0.32377854435309389</v>
      </c>
      <c r="R29" s="191">
        <f t="shared" si="10"/>
        <v>-0.32377854435309389</v>
      </c>
      <c r="S29" s="191">
        <f t="shared" si="10"/>
        <v>-0.32377854435309389</v>
      </c>
      <c r="T29" s="191">
        <f t="shared" si="10"/>
        <v>-0.32377854435309389</v>
      </c>
      <c r="U29" s="191">
        <f t="shared" si="10"/>
        <v>-0.32377854435309389</v>
      </c>
      <c r="V29" s="191">
        <f t="shared" si="10"/>
        <v>-0.32377854435309389</v>
      </c>
      <c r="W29" s="191">
        <f t="shared" si="10"/>
        <v>-0.32377854435309389</v>
      </c>
      <c r="X29" s="191">
        <f t="shared" si="10"/>
        <v>-0.32377854435309389</v>
      </c>
      <c r="Y29" s="191">
        <f t="shared" si="10"/>
        <v>-0.32377854435309389</v>
      </c>
      <c r="Z29" s="191">
        <f t="shared" si="10"/>
        <v>-0.32377854435309389</v>
      </c>
    </row>
    <row r="31" spans="1:26" x14ac:dyDescent="0.35">
      <c r="A31" s="345" t="s">
        <v>4866</v>
      </c>
    </row>
    <row r="32" spans="1:26" x14ac:dyDescent="0.35">
      <c r="A32" t="s">
        <v>4867</v>
      </c>
      <c r="C32" s="415">
        <f>IF(COLUMN()-2&lt;=12,-C21*0.3,-C21*0.22)</f>
        <v>-12156000</v>
      </c>
      <c r="D32" s="398">
        <f t="shared" ref="D32:Z32" si="11">IF(COLUMN()-2&lt;=12,-D21*0.3,-D21*0.22)</f>
        <v>-12156000</v>
      </c>
      <c r="E32" s="398">
        <f t="shared" si="11"/>
        <v>-12156000</v>
      </c>
      <c r="F32" s="398">
        <f t="shared" si="11"/>
        <v>-12156000</v>
      </c>
      <c r="G32" s="398">
        <f t="shared" si="11"/>
        <v>-12156000</v>
      </c>
      <c r="H32" s="398">
        <f t="shared" si="11"/>
        <v>-12156000</v>
      </c>
      <c r="I32" s="398">
        <f t="shared" si="11"/>
        <v>-12156000</v>
      </c>
      <c r="J32" s="398">
        <f t="shared" si="11"/>
        <v>-12156000</v>
      </c>
      <c r="K32" s="398">
        <f t="shared" si="11"/>
        <v>-12156000</v>
      </c>
      <c r="L32" s="398">
        <f t="shared" si="11"/>
        <v>-12156000</v>
      </c>
      <c r="M32" s="398">
        <f t="shared" si="11"/>
        <v>-12156000</v>
      </c>
      <c r="N32" s="398">
        <f t="shared" si="11"/>
        <v>-12156000</v>
      </c>
      <c r="O32" s="398">
        <f t="shared" si="11"/>
        <v>-40673600</v>
      </c>
      <c r="P32" s="398">
        <f t="shared" si="11"/>
        <v>-40673600</v>
      </c>
      <c r="Q32" s="398">
        <f t="shared" si="11"/>
        <v>-40673600</v>
      </c>
      <c r="R32" s="398">
        <f t="shared" si="11"/>
        <v>-40673600</v>
      </c>
      <c r="S32" s="398">
        <f t="shared" si="11"/>
        <v>-40673600</v>
      </c>
      <c r="T32" s="398">
        <f t="shared" si="11"/>
        <v>-40673600</v>
      </c>
      <c r="U32" s="398">
        <f t="shared" si="11"/>
        <v>-40673600</v>
      </c>
      <c r="V32" s="398">
        <f t="shared" si="11"/>
        <v>-40673600</v>
      </c>
      <c r="W32" s="398">
        <f t="shared" si="11"/>
        <v>-40673600</v>
      </c>
      <c r="X32" s="398">
        <f t="shared" si="11"/>
        <v>-40673600</v>
      </c>
      <c r="Y32" s="398">
        <f t="shared" si="11"/>
        <v>-40673600</v>
      </c>
      <c r="Z32" s="398">
        <f t="shared" si="11"/>
        <v>-40673600</v>
      </c>
    </row>
    <row r="33" spans="1:26" x14ac:dyDescent="0.35">
      <c r="A33" t="s">
        <v>4868</v>
      </c>
      <c r="C33" s="415">
        <f>IF(COLUMN()-2&lt;=12,-C21*0.4,-C21*0.18)</f>
        <v>-16208000</v>
      </c>
      <c r="D33" s="398">
        <f t="shared" ref="D33:Z33" si="12">IF(COLUMN()-2&lt;=12,-D21*0.4,-D21*0.18)</f>
        <v>-16208000</v>
      </c>
      <c r="E33" s="398">
        <f t="shared" si="12"/>
        <v>-16208000</v>
      </c>
      <c r="F33" s="398">
        <f t="shared" si="12"/>
        <v>-16208000</v>
      </c>
      <c r="G33" s="398">
        <f t="shared" si="12"/>
        <v>-16208000</v>
      </c>
      <c r="H33" s="398">
        <f t="shared" si="12"/>
        <v>-16208000</v>
      </c>
      <c r="I33" s="398">
        <f t="shared" si="12"/>
        <v>-16208000</v>
      </c>
      <c r="J33" s="398">
        <f t="shared" si="12"/>
        <v>-16208000</v>
      </c>
      <c r="K33" s="398">
        <f t="shared" si="12"/>
        <v>-16208000</v>
      </c>
      <c r="L33" s="398">
        <f t="shared" si="12"/>
        <v>-16208000</v>
      </c>
      <c r="M33" s="398">
        <f t="shared" si="12"/>
        <v>-16208000</v>
      </c>
      <c r="N33" s="398">
        <f t="shared" si="12"/>
        <v>-16208000</v>
      </c>
      <c r="O33" s="398">
        <f t="shared" si="12"/>
        <v>-33278400</v>
      </c>
      <c r="P33" s="398">
        <f t="shared" si="12"/>
        <v>-33278400</v>
      </c>
      <c r="Q33" s="398">
        <f t="shared" si="12"/>
        <v>-33278400</v>
      </c>
      <c r="R33" s="398">
        <f t="shared" si="12"/>
        <v>-33278400</v>
      </c>
      <c r="S33" s="398">
        <f t="shared" si="12"/>
        <v>-33278400</v>
      </c>
      <c r="T33" s="398">
        <f t="shared" si="12"/>
        <v>-33278400</v>
      </c>
      <c r="U33" s="398">
        <f t="shared" si="12"/>
        <v>-33278400</v>
      </c>
      <c r="V33" s="398">
        <f t="shared" si="12"/>
        <v>-33278400</v>
      </c>
      <c r="W33" s="398">
        <f t="shared" si="12"/>
        <v>-33278400</v>
      </c>
      <c r="X33" s="398">
        <f t="shared" si="12"/>
        <v>-33278400</v>
      </c>
      <c r="Y33" s="398">
        <f t="shared" si="12"/>
        <v>-33278400</v>
      </c>
      <c r="Z33" s="398">
        <f t="shared" si="12"/>
        <v>-33278400</v>
      </c>
    </row>
    <row r="34" spans="1:26" x14ac:dyDescent="0.35">
      <c r="A34" t="s">
        <v>4869</v>
      </c>
      <c r="C34" s="415">
        <f>IF(COLUMN()-2&lt;=12,-C21*0.4,-C21*0.25)</f>
        <v>-16208000</v>
      </c>
      <c r="D34" s="398">
        <f t="shared" ref="D34:Z34" si="13">IF(COLUMN()-2&lt;=12,-D21*0.4,-D21*0.25)</f>
        <v>-16208000</v>
      </c>
      <c r="E34" s="398">
        <f t="shared" si="13"/>
        <v>-16208000</v>
      </c>
      <c r="F34" s="398">
        <f t="shared" si="13"/>
        <v>-16208000</v>
      </c>
      <c r="G34" s="398">
        <f t="shared" si="13"/>
        <v>-16208000</v>
      </c>
      <c r="H34" s="398">
        <f t="shared" si="13"/>
        <v>-16208000</v>
      </c>
      <c r="I34" s="398">
        <f t="shared" si="13"/>
        <v>-16208000</v>
      </c>
      <c r="J34" s="398">
        <f t="shared" si="13"/>
        <v>-16208000</v>
      </c>
      <c r="K34" s="398">
        <f t="shared" si="13"/>
        <v>-16208000</v>
      </c>
      <c r="L34" s="398">
        <f t="shared" si="13"/>
        <v>-16208000</v>
      </c>
      <c r="M34" s="398">
        <f t="shared" si="13"/>
        <v>-16208000</v>
      </c>
      <c r="N34" s="398">
        <f t="shared" si="13"/>
        <v>-16208000</v>
      </c>
      <c r="O34" s="398">
        <f t="shared" si="13"/>
        <v>-46220000</v>
      </c>
      <c r="P34" s="398">
        <f t="shared" si="13"/>
        <v>-46220000</v>
      </c>
      <c r="Q34" s="398">
        <f t="shared" si="13"/>
        <v>-46220000</v>
      </c>
      <c r="R34" s="398">
        <f t="shared" si="13"/>
        <v>-46220000</v>
      </c>
      <c r="S34" s="398">
        <f t="shared" si="13"/>
        <v>-46220000</v>
      </c>
      <c r="T34" s="398">
        <f t="shared" si="13"/>
        <v>-46220000</v>
      </c>
      <c r="U34" s="398">
        <f t="shared" si="13"/>
        <v>-46220000</v>
      </c>
      <c r="V34" s="398">
        <f t="shared" si="13"/>
        <v>-46220000</v>
      </c>
      <c r="W34" s="398">
        <f t="shared" si="13"/>
        <v>-46220000</v>
      </c>
      <c r="X34" s="398">
        <f t="shared" si="13"/>
        <v>-46220000</v>
      </c>
      <c r="Y34" s="398">
        <f t="shared" si="13"/>
        <v>-46220000</v>
      </c>
      <c r="Z34" s="398">
        <f t="shared" si="13"/>
        <v>-46220000</v>
      </c>
    </row>
    <row r="35" spans="1:26" x14ac:dyDescent="0.35">
      <c r="A35" s="345" t="s">
        <v>4870</v>
      </c>
      <c r="C35" s="419">
        <f>SUM(C32:C34)</f>
        <v>-44572000</v>
      </c>
      <c r="D35" s="401">
        <f t="shared" ref="D35:Z35" si="14">SUM(D32:D34)</f>
        <v>-44572000</v>
      </c>
      <c r="E35" s="401">
        <f t="shared" si="14"/>
        <v>-44572000</v>
      </c>
      <c r="F35" s="401">
        <f t="shared" si="14"/>
        <v>-44572000</v>
      </c>
      <c r="G35" s="401">
        <f t="shared" si="14"/>
        <v>-44572000</v>
      </c>
      <c r="H35" s="401">
        <f t="shared" si="14"/>
        <v>-44572000</v>
      </c>
      <c r="I35" s="401">
        <f t="shared" si="14"/>
        <v>-44572000</v>
      </c>
      <c r="J35" s="401">
        <f t="shared" si="14"/>
        <v>-44572000</v>
      </c>
      <c r="K35" s="401">
        <f t="shared" si="14"/>
        <v>-44572000</v>
      </c>
      <c r="L35" s="401">
        <f t="shared" si="14"/>
        <v>-44572000</v>
      </c>
      <c r="M35" s="401">
        <f t="shared" si="14"/>
        <v>-44572000</v>
      </c>
      <c r="N35" s="401">
        <f t="shared" si="14"/>
        <v>-44572000</v>
      </c>
      <c r="O35" s="401">
        <f t="shared" si="14"/>
        <v>-120172000</v>
      </c>
      <c r="P35" s="401">
        <f t="shared" si="14"/>
        <v>-120172000</v>
      </c>
      <c r="Q35" s="401">
        <f t="shared" si="14"/>
        <v>-120172000</v>
      </c>
      <c r="R35" s="401">
        <f t="shared" si="14"/>
        <v>-120172000</v>
      </c>
      <c r="S35" s="401">
        <f t="shared" si="14"/>
        <v>-120172000</v>
      </c>
      <c r="T35" s="401">
        <f t="shared" si="14"/>
        <v>-120172000</v>
      </c>
      <c r="U35" s="401">
        <f t="shared" si="14"/>
        <v>-120172000</v>
      </c>
      <c r="V35" s="401">
        <f t="shared" si="14"/>
        <v>-120172000</v>
      </c>
      <c r="W35" s="401">
        <f t="shared" si="14"/>
        <v>-120172000</v>
      </c>
      <c r="X35" s="401">
        <f t="shared" si="14"/>
        <v>-120172000</v>
      </c>
      <c r="Y35" s="401">
        <f t="shared" si="14"/>
        <v>-120172000</v>
      </c>
      <c r="Z35" s="401">
        <f t="shared" si="14"/>
        <v>-120172000</v>
      </c>
    </row>
    <row r="36" spans="1:26" x14ac:dyDescent="0.35">
      <c r="A36" s="188" t="s">
        <v>19</v>
      </c>
      <c r="C36" s="417">
        <f>C28+C35</f>
        <v>-65237044.32</v>
      </c>
      <c r="D36" s="400">
        <f t="shared" ref="D36:Z36" si="15">D28+D35</f>
        <v>-65237044.32</v>
      </c>
      <c r="E36" s="400">
        <f t="shared" si="15"/>
        <v>-65237044.32</v>
      </c>
      <c r="F36" s="400">
        <f t="shared" si="15"/>
        <v>-65237044.32</v>
      </c>
      <c r="G36" s="400">
        <f t="shared" si="15"/>
        <v>-65237044.32</v>
      </c>
      <c r="H36" s="400">
        <f t="shared" si="15"/>
        <v>-65237044.32</v>
      </c>
      <c r="I36" s="400">
        <f t="shared" si="15"/>
        <v>-65237044.32</v>
      </c>
      <c r="J36" s="400">
        <f t="shared" si="15"/>
        <v>-65237044.32</v>
      </c>
      <c r="K36" s="400">
        <f t="shared" si="15"/>
        <v>-65237044.32</v>
      </c>
      <c r="L36" s="400">
        <f t="shared" si="15"/>
        <v>-65237044.32</v>
      </c>
      <c r="M36" s="400">
        <f t="shared" si="15"/>
        <v>-65237044.32</v>
      </c>
      <c r="N36" s="400">
        <f t="shared" si="15"/>
        <v>-65237044.32</v>
      </c>
      <c r="O36" s="400">
        <f t="shared" si="15"/>
        <v>-180032177.28</v>
      </c>
      <c r="P36" s="400">
        <f t="shared" si="15"/>
        <v>-180032177.28</v>
      </c>
      <c r="Q36" s="400">
        <f t="shared" si="15"/>
        <v>-180032177.28</v>
      </c>
      <c r="R36" s="400">
        <f t="shared" si="15"/>
        <v>-180032177.28</v>
      </c>
      <c r="S36" s="400">
        <f t="shared" si="15"/>
        <v>-180032177.28</v>
      </c>
      <c r="T36" s="400">
        <f t="shared" si="15"/>
        <v>-180032177.28</v>
      </c>
      <c r="U36" s="400">
        <f t="shared" si="15"/>
        <v>-180032177.28</v>
      </c>
      <c r="V36" s="400">
        <f t="shared" si="15"/>
        <v>-180032177.28</v>
      </c>
      <c r="W36" s="400">
        <f t="shared" si="15"/>
        <v>-180032177.28</v>
      </c>
      <c r="X36" s="400">
        <f t="shared" si="15"/>
        <v>-180032177.28</v>
      </c>
      <c r="Y36" s="400">
        <f t="shared" si="15"/>
        <v>-180032177.28</v>
      </c>
      <c r="Z36" s="400">
        <f t="shared" si="15"/>
        <v>-180032177.28</v>
      </c>
    </row>
    <row r="37" spans="1:26" x14ac:dyDescent="0.35">
      <c r="A37" s="186" t="s">
        <v>4871</v>
      </c>
      <c r="C37" s="418">
        <f>IFERROR(C36/C21,0)</f>
        <v>-1.609996157946693</v>
      </c>
      <c r="D37" s="191">
        <f t="shared" ref="D37:Z37" si="16">IFERROR(D36/D21,0)</f>
        <v>-1.609996157946693</v>
      </c>
      <c r="E37" s="191">
        <f t="shared" si="16"/>
        <v>-1.609996157946693</v>
      </c>
      <c r="F37" s="191">
        <f t="shared" si="16"/>
        <v>-1.609996157946693</v>
      </c>
      <c r="G37" s="191">
        <f t="shared" si="16"/>
        <v>-1.609996157946693</v>
      </c>
      <c r="H37" s="191">
        <f t="shared" si="16"/>
        <v>-1.609996157946693</v>
      </c>
      <c r="I37" s="191">
        <f t="shared" si="16"/>
        <v>-1.609996157946693</v>
      </c>
      <c r="J37" s="191">
        <f t="shared" si="16"/>
        <v>-1.609996157946693</v>
      </c>
      <c r="K37" s="191">
        <f t="shared" si="16"/>
        <v>-1.609996157946693</v>
      </c>
      <c r="L37" s="191">
        <f t="shared" si="16"/>
        <v>-1.609996157946693</v>
      </c>
      <c r="M37" s="191">
        <f t="shared" si="16"/>
        <v>-1.609996157946693</v>
      </c>
      <c r="N37" s="191">
        <f t="shared" si="16"/>
        <v>-1.609996157946693</v>
      </c>
      <c r="O37" s="191">
        <f t="shared" si="16"/>
        <v>-0.97377854435309386</v>
      </c>
      <c r="P37" s="191">
        <f t="shared" si="16"/>
        <v>-0.97377854435309386</v>
      </c>
      <c r="Q37" s="191">
        <f t="shared" si="16"/>
        <v>-0.97377854435309386</v>
      </c>
      <c r="R37" s="191">
        <f t="shared" si="16"/>
        <v>-0.97377854435309386</v>
      </c>
      <c r="S37" s="191">
        <f t="shared" si="16"/>
        <v>-0.97377854435309386</v>
      </c>
      <c r="T37" s="191">
        <f t="shared" si="16"/>
        <v>-0.97377854435309386</v>
      </c>
      <c r="U37" s="191">
        <f t="shared" si="16"/>
        <v>-0.97377854435309386</v>
      </c>
      <c r="V37" s="191">
        <f t="shared" si="16"/>
        <v>-0.97377854435309386</v>
      </c>
      <c r="W37" s="191">
        <f t="shared" si="16"/>
        <v>-0.97377854435309386</v>
      </c>
      <c r="X37" s="191">
        <f t="shared" si="16"/>
        <v>-0.97377854435309386</v>
      </c>
      <c r="Y37" s="191">
        <f t="shared" si="16"/>
        <v>-0.97377854435309386</v>
      </c>
      <c r="Z37" s="191">
        <f t="shared" si="16"/>
        <v>-0.97377854435309386</v>
      </c>
    </row>
    <row r="39" spans="1:26" x14ac:dyDescent="0.35">
      <c r="A39" s="393" t="s">
        <v>4872</v>
      </c>
    </row>
    <row r="40" spans="1:26" x14ac:dyDescent="0.35">
      <c r="A40" t="s">
        <v>4873</v>
      </c>
      <c r="C40" s="415">
        <f>C36</f>
        <v>-65237044.32</v>
      </c>
      <c r="D40" s="398">
        <f t="shared" ref="D40:Z40" si="17">D36</f>
        <v>-65237044.32</v>
      </c>
      <c r="E40" s="398">
        <f t="shared" si="17"/>
        <v>-65237044.32</v>
      </c>
      <c r="F40" s="398">
        <f t="shared" si="17"/>
        <v>-65237044.32</v>
      </c>
      <c r="G40" s="398">
        <f t="shared" si="17"/>
        <v>-65237044.32</v>
      </c>
      <c r="H40" s="398">
        <f t="shared" si="17"/>
        <v>-65237044.32</v>
      </c>
      <c r="I40" s="398">
        <f t="shared" si="17"/>
        <v>-65237044.32</v>
      </c>
      <c r="J40" s="398">
        <f t="shared" si="17"/>
        <v>-65237044.32</v>
      </c>
      <c r="K40" s="398">
        <f t="shared" si="17"/>
        <v>-65237044.32</v>
      </c>
      <c r="L40" s="398">
        <f t="shared" si="17"/>
        <v>-65237044.32</v>
      </c>
      <c r="M40" s="398">
        <f t="shared" si="17"/>
        <v>-65237044.32</v>
      </c>
      <c r="N40" s="398">
        <f t="shared" si="17"/>
        <v>-65237044.32</v>
      </c>
      <c r="O40" s="398">
        <f t="shared" si="17"/>
        <v>-180032177.28</v>
      </c>
      <c r="P40" s="398">
        <f t="shared" si="17"/>
        <v>-180032177.28</v>
      </c>
      <c r="Q40" s="398">
        <f t="shared" si="17"/>
        <v>-180032177.28</v>
      </c>
      <c r="R40" s="398">
        <f t="shared" si="17"/>
        <v>-180032177.28</v>
      </c>
      <c r="S40" s="398">
        <f t="shared" si="17"/>
        <v>-180032177.28</v>
      </c>
      <c r="T40" s="398">
        <f t="shared" si="17"/>
        <v>-180032177.28</v>
      </c>
      <c r="U40" s="398">
        <f t="shared" si="17"/>
        <v>-180032177.28</v>
      </c>
      <c r="V40" s="398">
        <f t="shared" si="17"/>
        <v>-180032177.28</v>
      </c>
      <c r="W40" s="398">
        <f t="shared" si="17"/>
        <v>-180032177.28</v>
      </c>
      <c r="X40" s="398">
        <f t="shared" si="17"/>
        <v>-180032177.28</v>
      </c>
      <c r="Y40" s="398">
        <f t="shared" si="17"/>
        <v>-180032177.28</v>
      </c>
      <c r="Z40" s="398">
        <f t="shared" si="17"/>
        <v>-180032177.28</v>
      </c>
    </row>
    <row r="41" spans="1:26" x14ac:dyDescent="0.35">
      <c r="A41" t="s">
        <v>4874</v>
      </c>
      <c r="C41" s="415">
        <f>-(MAX(0,IF(COLUMN()-2&lt;=12,Assumptions!$B$42,Assumptions!$C$42)-IF(COLUMN()-3&lt;=0,0,IF(COLUMN()-3&lt;=12,Assumptions!$B$42,Assumptions!$C$42)))*Assumptions!$E$31+MAX(0,IF(COLUMN()-2&lt;=12,Assumptions!$B$43,Assumptions!$C$43)-IF(COLUMN()-3&lt;=0,0,IF(COLUMN()-3&lt;=12,Assumptions!$B$43,Assumptions!$C$43)))*Assumptions!$E$32)</f>
        <v>-1879895496.4443197</v>
      </c>
      <c r="D41" s="398">
        <f>-(MAX(0,IF(COLUMN()-2&lt;=12,Assumptions!$B$42,Assumptions!$C$42)-IF(COLUMN()-3&lt;=0,0,IF(COLUMN()-3&lt;=12,Assumptions!$B$42,Assumptions!$C$42)))*Assumptions!$E$31+MAX(0,IF(COLUMN()-2&lt;=12,Assumptions!$B$43,Assumptions!$C$43)-IF(COLUMN()-3&lt;=0,0,IF(COLUMN()-3&lt;=12,Assumptions!$B$43,Assumptions!$C$43)))*Assumptions!$E$32)</f>
        <v>0</v>
      </c>
      <c r="E41" s="398">
        <f>-(MAX(0,IF(COLUMN()-2&lt;=12,Assumptions!$B$42,Assumptions!$C$42)-IF(COLUMN()-3&lt;=0,0,IF(COLUMN()-3&lt;=12,Assumptions!$B$42,Assumptions!$C$42)))*Assumptions!$E$31+MAX(0,IF(COLUMN()-2&lt;=12,Assumptions!$B$43,Assumptions!$C$43)-IF(COLUMN()-3&lt;=0,0,IF(COLUMN()-3&lt;=12,Assumptions!$B$43,Assumptions!$C$43)))*Assumptions!$E$32)</f>
        <v>0</v>
      </c>
      <c r="F41" s="398">
        <f>-(MAX(0,IF(COLUMN()-2&lt;=12,Assumptions!$B$42,Assumptions!$C$42)-IF(COLUMN()-3&lt;=0,0,IF(COLUMN()-3&lt;=12,Assumptions!$B$42,Assumptions!$C$42)))*Assumptions!$E$31+MAX(0,IF(COLUMN()-2&lt;=12,Assumptions!$B$43,Assumptions!$C$43)-IF(COLUMN()-3&lt;=0,0,IF(COLUMN()-3&lt;=12,Assumptions!$B$43,Assumptions!$C$43)))*Assumptions!$E$32)</f>
        <v>0</v>
      </c>
      <c r="G41" s="398">
        <f>-(MAX(0,IF(COLUMN()-2&lt;=12,Assumptions!$B$42,Assumptions!$C$42)-IF(COLUMN()-3&lt;=0,0,IF(COLUMN()-3&lt;=12,Assumptions!$B$42,Assumptions!$C$42)))*Assumptions!$E$31+MAX(0,IF(COLUMN()-2&lt;=12,Assumptions!$B$43,Assumptions!$C$43)-IF(COLUMN()-3&lt;=0,0,IF(COLUMN()-3&lt;=12,Assumptions!$B$43,Assumptions!$C$43)))*Assumptions!$E$32)</f>
        <v>0</v>
      </c>
      <c r="H41" s="398">
        <f>-(MAX(0,IF(COLUMN()-2&lt;=12,Assumptions!$B$42,Assumptions!$C$42)-IF(COLUMN()-3&lt;=0,0,IF(COLUMN()-3&lt;=12,Assumptions!$B$42,Assumptions!$C$42)))*Assumptions!$E$31+MAX(0,IF(COLUMN()-2&lt;=12,Assumptions!$B$43,Assumptions!$C$43)-IF(COLUMN()-3&lt;=0,0,IF(COLUMN()-3&lt;=12,Assumptions!$B$43,Assumptions!$C$43)))*Assumptions!$E$32)</f>
        <v>0</v>
      </c>
      <c r="I41" s="398">
        <f>-(MAX(0,IF(COLUMN()-2&lt;=12,Assumptions!$B$42,Assumptions!$C$42)-IF(COLUMN()-3&lt;=0,0,IF(COLUMN()-3&lt;=12,Assumptions!$B$42,Assumptions!$C$42)))*Assumptions!$E$31+MAX(0,IF(COLUMN()-2&lt;=12,Assumptions!$B$43,Assumptions!$C$43)-IF(COLUMN()-3&lt;=0,0,IF(COLUMN()-3&lt;=12,Assumptions!$B$43,Assumptions!$C$43)))*Assumptions!$E$32)</f>
        <v>0</v>
      </c>
      <c r="J41" s="398">
        <f>-(MAX(0,IF(COLUMN()-2&lt;=12,Assumptions!$B$42,Assumptions!$C$42)-IF(COLUMN()-3&lt;=0,0,IF(COLUMN()-3&lt;=12,Assumptions!$B$42,Assumptions!$C$42)))*Assumptions!$E$31+MAX(0,IF(COLUMN()-2&lt;=12,Assumptions!$B$43,Assumptions!$C$43)-IF(COLUMN()-3&lt;=0,0,IF(COLUMN()-3&lt;=12,Assumptions!$B$43,Assumptions!$C$43)))*Assumptions!$E$32)</f>
        <v>0</v>
      </c>
      <c r="K41" s="398">
        <f>-(MAX(0,IF(COLUMN()-2&lt;=12,Assumptions!$B$42,Assumptions!$C$42)-IF(COLUMN()-3&lt;=0,0,IF(COLUMN()-3&lt;=12,Assumptions!$B$42,Assumptions!$C$42)))*Assumptions!$E$31+MAX(0,IF(COLUMN()-2&lt;=12,Assumptions!$B$43,Assumptions!$C$43)-IF(COLUMN()-3&lt;=0,0,IF(COLUMN()-3&lt;=12,Assumptions!$B$43,Assumptions!$C$43)))*Assumptions!$E$32)</f>
        <v>0</v>
      </c>
      <c r="L41" s="398">
        <f>-(MAX(0,IF(COLUMN()-2&lt;=12,Assumptions!$B$42,Assumptions!$C$42)-IF(COLUMN()-3&lt;=0,0,IF(COLUMN()-3&lt;=12,Assumptions!$B$42,Assumptions!$C$42)))*Assumptions!$E$31+MAX(0,IF(COLUMN()-2&lt;=12,Assumptions!$B$43,Assumptions!$C$43)-IF(COLUMN()-3&lt;=0,0,IF(COLUMN()-3&lt;=12,Assumptions!$B$43,Assumptions!$C$43)))*Assumptions!$E$32)</f>
        <v>0</v>
      </c>
      <c r="M41" s="398">
        <f>-(MAX(0,IF(COLUMN()-2&lt;=12,Assumptions!$B$42,Assumptions!$C$42)-IF(COLUMN()-3&lt;=0,0,IF(COLUMN()-3&lt;=12,Assumptions!$B$42,Assumptions!$C$42)))*Assumptions!$E$31+MAX(0,IF(COLUMN()-2&lt;=12,Assumptions!$B$43,Assumptions!$C$43)-IF(COLUMN()-3&lt;=0,0,IF(COLUMN()-3&lt;=12,Assumptions!$B$43,Assumptions!$C$43)))*Assumptions!$E$32)</f>
        <v>0</v>
      </c>
      <c r="N41" s="398">
        <f>-(MAX(0,IF(COLUMN()-2&lt;=12,Assumptions!$B$42,Assumptions!$C$42)-IF(COLUMN()-3&lt;=0,0,IF(COLUMN()-3&lt;=12,Assumptions!$B$42,Assumptions!$C$42)))*Assumptions!$E$31+MAX(0,IF(COLUMN()-2&lt;=12,Assumptions!$B$43,Assumptions!$C$43)-IF(COLUMN()-3&lt;=0,0,IF(COLUMN()-3&lt;=12,Assumptions!$B$43,Assumptions!$C$43)))*Assumptions!$E$32)</f>
        <v>0</v>
      </c>
      <c r="O41" s="398">
        <f>-(MAX(0,IF(COLUMN()-2&lt;=12,Assumptions!$B$42,Assumptions!$C$42)-IF(COLUMN()-3&lt;=0,0,IF(COLUMN()-3&lt;=12,Assumptions!$B$42,Assumptions!$C$42)))*Assumptions!$E$31+MAX(0,IF(COLUMN()-2&lt;=12,Assumptions!$B$43,Assumptions!$C$43)-IF(COLUMN()-3&lt;=0,0,IF(COLUMN()-3&lt;=12,Assumptions!$B$43,Assumptions!$C$43)))*Assumptions!$E$32)</f>
        <v>-5639686489.3329601</v>
      </c>
      <c r="P41" s="398">
        <f>-(MAX(0,IF(COLUMN()-2&lt;=12,Assumptions!$B$42,Assumptions!$C$42)-IF(COLUMN()-3&lt;=0,0,IF(COLUMN()-3&lt;=12,Assumptions!$B$42,Assumptions!$C$42)))*Assumptions!$E$31+MAX(0,IF(COLUMN()-2&lt;=12,Assumptions!$B$43,Assumptions!$C$43)-IF(COLUMN()-3&lt;=0,0,IF(COLUMN()-3&lt;=12,Assumptions!$B$43,Assumptions!$C$43)))*Assumptions!$E$32)</f>
        <v>0</v>
      </c>
      <c r="Q41" s="398">
        <f>-(MAX(0,IF(COLUMN()-2&lt;=12,Assumptions!$B$42,Assumptions!$C$42)-IF(COLUMN()-3&lt;=0,0,IF(COLUMN()-3&lt;=12,Assumptions!$B$42,Assumptions!$C$42)))*Assumptions!$E$31+MAX(0,IF(COLUMN()-2&lt;=12,Assumptions!$B$43,Assumptions!$C$43)-IF(COLUMN()-3&lt;=0,0,IF(COLUMN()-3&lt;=12,Assumptions!$B$43,Assumptions!$C$43)))*Assumptions!$E$32)</f>
        <v>0</v>
      </c>
      <c r="R41" s="398">
        <f>-(MAX(0,IF(COLUMN()-2&lt;=12,Assumptions!$B$42,Assumptions!$C$42)-IF(COLUMN()-3&lt;=0,0,IF(COLUMN()-3&lt;=12,Assumptions!$B$42,Assumptions!$C$42)))*Assumptions!$E$31+MAX(0,IF(COLUMN()-2&lt;=12,Assumptions!$B$43,Assumptions!$C$43)-IF(COLUMN()-3&lt;=0,0,IF(COLUMN()-3&lt;=12,Assumptions!$B$43,Assumptions!$C$43)))*Assumptions!$E$32)</f>
        <v>0</v>
      </c>
      <c r="S41" s="398">
        <f>-(MAX(0,IF(COLUMN()-2&lt;=12,Assumptions!$B$42,Assumptions!$C$42)-IF(COLUMN()-3&lt;=0,0,IF(COLUMN()-3&lt;=12,Assumptions!$B$42,Assumptions!$C$42)))*Assumptions!$E$31+MAX(0,IF(COLUMN()-2&lt;=12,Assumptions!$B$43,Assumptions!$C$43)-IF(COLUMN()-3&lt;=0,0,IF(COLUMN()-3&lt;=12,Assumptions!$B$43,Assumptions!$C$43)))*Assumptions!$E$32)</f>
        <v>0</v>
      </c>
      <c r="T41" s="398">
        <f>-(MAX(0,IF(COLUMN()-2&lt;=12,Assumptions!$B$42,Assumptions!$C$42)-IF(COLUMN()-3&lt;=0,0,IF(COLUMN()-3&lt;=12,Assumptions!$B$42,Assumptions!$C$42)))*Assumptions!$E$31+MAX(0,IF(COLUMN()-2&lt;=12,Assumptions!$B$43,Assumptions!$C$43)-IF(COLUMN()-3&lt;=0,0,IF(COLUMN()-3&lt;=12,Assumptions!$B$43,Assumptions!$C$43)))*Assumptions!$E$32)</f>
        <v>0</v>
      </c>
      <c r="U41" s="398">
        <f>-(MAX(0,IF(COLUMN()-2&lt;=12,Assumptions!$B$42,Assumptions!$C$42)-IF(COLUMN()-3&lt;=0,0,IF(COLUMN()-3&lt;=12,Assumptions!$B$42,Assumptions!$C$42)))*Assumptions!$E$31+MAX(0,IF(COLUMN()-2&lt;=12,Assumptions!$B$43,Assumptions!$C$43)-IF(COLUMN()-3&lt;=0,0,IF(COLUMN()-3&lt;=12,Assumptions!$B$43,Assumptions!$C$43)))*Assumptions!$E$32)</f>
        <v>0</v>
      </c>
      <c r="V41" s="398">
        <f>-(MAX(0,IF(COLUMN()-2&lt;=12,Assumptions!$B$42,Assumptions!$C$42)-IF(COLUMN()-3&lt;=0,0,IF(COLUMN()-3&lt;=12,Assumptions!$B$42,Assumptions!$C$42)))*Assumptions!$E$31+MAX(0,IF(COLUMN()-2&lt;=12,Assumptions!$B$43,Assumptions!$C$43)-IF(COLUMN()-3&lt;=0,0,IF(COLUMN()-3&lt;=12,Assumptions!$B$43,Assumptions!$C$43)))*Assumptions!$E$32)</f>
        <v>0</v>
      </c>
      <c r="W41" s="398">
        <f>-(MAX(0,IF(COLUMN()-2&lt;=12,Assumptions!$B$42,Assumptions!$C$42)-IF(COLUMN()-3&lt;=0,0,IF(COLUMN()-3&lt;=12,Assumptions!$B$42,Assumptions!$C$42)))*Assumptions!$E$31+MAX(0,IF(COLUMN()-2&lt;=12,Assumptions!$B$43,Assumptions!$C$43)-IF(COLUMN()-3&lt;=0,0,IF(COLUMN()-3&lt;=12,Assumptions!$B$43,Assumptions!$C$43)))*Assumptions!$E$32)</f>
        <v>0</v>
      </c>
      <c r="X41" s="398">
        <f>-(MAX(0,IF(COLUMN()-2&lt;=12,Assumptions!$B$42,Assumptions!$C$42)-IF(COLUMN()-3&lt;=0,0,IF(COLUMN()-3&lt;=12,Assumptions!$B$42,Assumptions!$C$42)))*Assumptions!$E$31+MAX(0,IF(COLUMN()-2&lt;=12,Assumptions!$B$43,Assumptions!$C$43)-IF(COLUMN()-3&lt;=0,0,IF(COLUMN()-3&lt;=12,Assumptions!$B$43,Assumptions!$C$43)))*Assumptions!$E$32)</f>
        <v>0</v>
      </c>
      <c r="Y41" s="398">
        <f>-(MAX(0,IF(COLUMN()-2&lt;=12,Assumptions!$B$42,Assumptions!$C$42)-IF(COLUMN()-3&lt;=0,0,IF(COLUMN()-3&lt;=12,Assumptions!$B$42,Assumptions!$C$42)))*Assumptions!$E$31+MAX(0,IF(COLUMN()-2&lt;=12,Assumptions!$B$43,Assumptions!$C$43)-IF(COLUMN()-3&lt;=0,0,IF(COLUMN()-3&lt;=12,Assumptions!$B$43,Assumptions!$C$43)))*Assumptions!$E$32)</f>
        <v>0</v>
      </c>
      <c r="Z41" s="398">
        <f>-(MAX(0,IF(COLUMN()-2&lt;=12,Assumptions!$B$42,Assumptions!$C$42)-IF(COLUMN()-3&lt;=0,0,IF(COLUMN()-3&lt;=12,Assumptions!$B$42,Assumptions!$C$42)))*Assumptions!$E$31+MAX(0,IF(COLUMN()-2&lt;=12,Assumptions!$B$43,Assumptions!$C$43)-IF(COLUMN()-3&lt;=0,0,IF(COLUMN()-3&lt;=12,Assumptions!$B$43,Assumptions!$C$43)))*Assumptions!$E$32)</f>
        <v>0</v>
      </c>
    </row>
    <row r="42" spans="1:26" x14ac:dyDescent="0.35">
      <c r="A42" s="389" t="s">
        <v>4875</v>
      </c>
      <c r="C42" s="415">
        <f>0</f>
        <v>0</v>
      </c>
      <c r="D42" s="398">
        <f>0</f>
        <v>0</v>
      </c>
      <c r="E42" s="398">
        <f>0</f>
        <v>0</v>
      </c>
      <c r="F42" s="398">
        <f>0</f>
        <v>0</v>
      </c>
      <c r="G42" s="398">
        <f>0</f>
        <v>0</v>
      </c>
      <c r="H42" s="398">
        <f>0</f>
        <v>0</v>
      </c>
      <c r="I42" s="398">
        <f>0</f>
        <v>0</v>
      </c>
      <c r="J42" s="398">
        <f>0</f>
        <v>0</v>
      </c>
      <c r="K42" s="398">
        <f>0</f>
        <v>0</v>
      </c>
      <c r="L42" s="398">
        <f>0</f>
        <v>0</v>
      </c>
      <c r="M42" s="398">
        <f>0</f>
        <v>0</v>
      </c>
      <c r="N42" s="398">
        <f>0</f>
        <v>0</v>
      </c>
      <c r="O42" s="398">
        <f>0</f>
        <v>0</v>
      </c>
      <c r="P42" s="398">
        <f>0</f>
        <v>0</v>
      </c>
      <c r="Q42" s="398">
        <f>0</f>
        <v>0</v>
      </c>
      <c r="R42" s="398">
        <f>0</f>
        <v>0</v>
      </c>
      <c r="S42" s="398">
        <f>0</f>
        <v>0</v>
      </c>
      <c r="T42" s="398">
        <f>0</f>
        <v>0</v>
      </c>
      <c r="U42" s="398">
        <f>0</f>
        <v>0</v>
      </c>
      <c r="V42" s="398">
        <f>0</f>
        <v>0</v>
      </c>
      <c r="W42" s="398">
        <f>0</f>
        <v>0</v>
      </c>
      <c r="X42" s="398">
        <f>0</f>
        <v>0</v>
      </c>
      <c r="Y42" s="398">
        <f>0</f>
        <v>0</v>
      </c>
      <c r="Z42" s="398">
        <f>0</f>
        <v>0</v>
      </c>
    </row>
    <row r="43" spans="1:26" x14ac:dyDescent="0.35">
      <c r="A43" s="389" t="s">
        <v>4876</v>
      </c>
      <c r="C43" s="415">
        <f>0</f>
        <v>0</v>
      </c>
      <c r="D43" s="398">
        <f>0</f>
        <v>0</v>
      </c>
      <c r="E43" s="398">
        <f>0</f>
        <v>0</v>
      </c>
      <c r="F43" s="398">
        <f>0</f>
        <v>0</v>
      </c>
      <c r="G43" s="398">
        <f>0</f>
        <v>0</v>
      </c>
      <c r="H43" s="398">
        <f>0</f>
        <v>0</v>
      </c>
      <c r="I43" s="398">
        <f>0</f>
        <v>0</v>
      </c>
      <c r="J43" s="398">
        <f>0</f>
        <v>0</v>
      </c>
      <c r="K43" s="398">
        <f>0</f>
        <v>0</v>
      </c>
      <c r="L43" s="398">
        <f>0</f>
        <v>0</v>
      </c>
      <c r="M43" s="398">
        <f>0</f>
        <v>0</v>
      </c>
      <c r="N43" s="398">
        <f>0</f>
        <v>0</v>
      </c>
      <c r="O43" s="398">
        <f>0</f>
        <v>0</v>
      </c>
      <c r="P43" s="398">
        <f>0</f>
        <v>0</v>
      </c>
      <c r="Q43" s="398">
        <f>0</f>
        <v>0</v>
      </c>
      <c r="R43" s="398">
        <f>0</f>
        <v>0</v>
      </c>
      <c r="S43" s="398">
        <f>0</f>
        <v>0</v>
      </c>
      <c r="T43" s="398">
        <f>0</f>
        <v>0</v>
      </c>
      <c r="U43" s="398">
        <f>0</f>
        <v>0</v>
      </c>
      <c r="V43" s="398">
        <f>0</f>
        <v>0</v>
      </c>
      <c r="W43" s="398">
        <f>0</f>
        <v>0</v>
      </c>
      <c r="X43" s="398">
        <f>0</f>
        <v>0</v>
      </c>
      <c r="Y43" s="398">
        <f>0</f>
        <v>0</v>
      </c>
      <c r="Z43" s="398">
        <f>0</f>
        <v>0</v>
      </c>
    </row>
    <row r="44" spans="1:26" x14ac:dyDescent="0.35">
      <c r="A44" s="343" t="s">
        <v>4877</v>
      </c>
      <c r="C44" s="420">
        <f>IF(COLUMN()-2=1,3500000000,IF(COLUMN()-2=13,20000000000,0))</f>
        <v>3500000000</v>
      </c>
      <c r="D44" s="402">
        <f t="shared" ref="D44:Z44" si="18">IF(COLUMN()-2=1,3500000000,IF(COLUMN()-2=13,20000000000,0))</f>
        <v>0</v>
      </c>
      <c r="E44" s="402">
        <f t="shared" si="18"/>
        <v>0</v>
      </c>
      <c r="F44" s="402">
        <f t="shared" si="18"/>
        <v>0</v>
      </c>
      <c r="G44" s="402">
        <f t="shared" si="18"/>
        <v>0</v>
      </c>
      <c r="H44" s="402">
        <f t="shared" si="18"/>
        <v>0</v>
      </c>
      <c r="I44" s="402">
        <f t="shared" si="18"/>
        <v>0</v>
      </c>
      <c r="J44" s="402">
        <f t="shared" si="18"/>
        <v>0</v>
      </c>
      <c r="K44" s="402">
        <f t="shared" si="18"/>
        <v>0</v>
      </c>
      <c r="L44" s="402">
        <f t="shared" si="18"/>
        <v>0</v>
      </c>
      <c r="M44" s="402">
        <f t="shared" si="18"/>
        <v>0</v>
      </c>
      <c r="N44" s="402">
        <f t="shared" si="18"/>
        <v>0</v>
      </c>
      <c r="O44" s="402">
        <f t="shared" si="18"/>
        <v>20000000000</v>
      </c>
      <c r="P44" s="402">
        <f t="shared" si="18"/>
        <v>0</v>
      </c>
      <c r="Q44" s="402">
        <f t="shared" si="18"/>
        <v>0</v>
      </c>
      <c r="R44" s="402">
        <f t="shared" si="18"/>
        <v>0</v>
      </c>
      <c r="S44" s="402">
        <f t="shared" si="18"/>
        <v>0</v>
      </c>
      <c r="T44" s="402">
        <f t="shared" si="18"/>
        <v>0</v>
      </c>
      <c r="U44" s="402">
        <f t="shared" si="18"/>
        <v>0</v>
      </c>
      <c r="V44" s="402">
        <f t="shared" si="18"/>
        <v>0</v>
      </c>
      <c r="W44" s="402">
        <f t="shared" si="18"/>
        <v>0</v>
      </c>
      <c r="X44" s="402">
        <f t="shared" si="18"/>
        <v>0</v>
      </c>
      <c r="Y44" s="402">
        <f t="shared" si="18"/>
        <v>0</v>
      </c>
      <c r="Z44" s="402">
        <f t="shared" si="18"/>
        <v>0</v>
      </c>
    </row>
    <row r="45" spans="1:26" x14ac:dyDescent="0.35">
      <c r="A45" s="343" t="s">
        <v>4878</v>
      </c>
      <c r="C45" s="420">
        <f>IF(COLUMN()-2=14,2000000000,0)</f>
        <v>0</v>
      </c>
      <c r="D45" s="402">
        <f t="shared" ref="D45:Z45" si="19">IF(COLUMN()-2=14,2000000000,0)</f>
        <v>0</v>
      </c>
      <c r="E45" s="402">
        <f t="shared" si="19"/>
        <v>0</v>
      </c>
      <c r="F45" s="402">
        <f t="shared" si="19"/>
        <v>0</v>
      </c>
      <c r="G45" s="402">
        <f t="shared" si="19"/>
        <v>0</v>
      </c>
      <c r="H45" s="402">
        <f t="shared" si="19"/>
        <v>0</v>
      </c>
      <c r="I45" s="402">
        <f t="shared" si="19"/>
        <v>0</v>
      </c>
      <c r="J45" s="402">
        <f t="shared" si="19"/>
        <v>0</v>
      </c>
      <c r="K45" s="402">
        <f t="shared" si="19"/>
        <v>0</v>
      </c>
      <c r="L45" s="402">
        <f t="shared" si="19"/>
        <v>0</v>
      </c>
      <c r="M45" s="402">
        <f t="shared" si="19"/>
        <v>0</v>
      </c>
      <c r="N45" s="402">
        <f t="shared" si="19"/>
        <v>0</v>
      </c>
      <c r="O45" s="402">
        <f t="shared" si="19"/>
        <v>0</v>
      </c>
      <c r="P45" s="402">
        <f t="shared" si="19"/>
        <v>2000000000</v>
      </c>
      <c r="Q45" s="402">
        <f t="shared" si="19"/>
        <v>0</v>
      </c>
      <c r="R45" s="402">
        <f t="shared" si="19"/>
        <v>0</v>
      </c>
      <c r="S45" s="402">
        <f t="shared" si="19"/>
        <v>0</v>
      </c>
      <c r="T45" s="402">
        <f t="shared" si="19"/>
        <v>0</v>
      </c>
      <c r="U45" s="402">
        <f t="shared" si="19"/>
        <v>0</v>
      </c>
      <c r="V45" s="402">
        <f t="shared" si="19"/>
        <v>0</v>
      </c>
      <c r="W45" s="402">
        <f t="shared" si="19"/>
        <v>0</v>
      </c>
      <c r="X45" s="402">
        <f t="shared" si="19"/>
        <v>0</v>
      </c>
      <c r="Y45" s="402">
        <f t="shared" si="19"/>
        <v>0</v>
      </c>
      <c r="Z45" s="402">
        <f t="shared" si="19"/>
        <v>0</v>
      </c>
    </row>
    <row r="46" spans="1:26" x14ac:dyDescent="0.35">
      <c r="A46" s="188" t="s">
        <v>2943</v>
      </c>
      <c r="C46" s="417">
        <f>C40+C41+C42+C43+C44+C45</f>
        <v>1554867459.2356803</v>
      </c>
      <c r="D46" s="400">
        <f t="shared" ref="D46:Z46" si="20">D40+D41+D42+D43+D44+D45</f>
        <v>-65237044.32</v>
      </c>
      <c r="E46" s="400">
        <f t="shared" si="20"/>
        <v>-65237044.32</v>
      </c>
      <c r="F46" s="400">
        <f t="shared" si="20"/>
        <v>-65237044.32</v>
      </c>
      <c r="G46" s="400">
        <f t="shared" si="20"/>
        <v>-65237044.32</v>
      </c>
      <c r="H46" s="400">
        <f t="shared" si="20"/>
        <v>-65237044.32</v>
      </c>
      <c r="I46" s="400">
        <f t="shared" si="20"/>
        <v>-65237044.32</v>
      </c>
      <c r="J46" s="400">
        <f t="shared" si="20"/>
        <v>-65237044.32</v>
      </c>
      <c r="K46" s="400">
        <f t="shared" si="20"/>
        <v>-65237044.32</v>
      </c>
      <c r="L46" s="400">
        <f t="shared" si="20"/>
        <v>-65237044.32</v>
      </c>
      <c r="M46" s="400">
        <f t="shared" si="20"/>
        <v>-65237044.32</v>
      </c>
      <c r="N46" s="400">
        <f t="shared" si="20"/>
        <v>-65237044.32</v>
      </c>
      <c r="O46" s="400">
        <f t="shared" si="20"/>
        <v>14180281333.387039</v>
      </c>
      <c r="P46" s="400">
        <f t="shared" si="20"/>
        <v>1819967822.72</v>
      </c>
      <c r="Q46" s="400">
        <f t="shared" si="20"/>
        <v>-180032177.28</v>
      </c>
      <c r="R46" s="400">
        <f t="shared" si="20"/>
        <v>-180032177.28</v>
      </c>
      <c r="S46" s="400">
        <f t="shared" si="20"/>
        <v>-180032177.28</v>
      </c>
      <c r="T46" s="400">
        <f t="shared" si="20"/>
        <v>-180032177.28</v>
      </c>
      <c r="U46" s="400">
        <f t="shared" si="20"/>
        <v>-180032177.28</v>
      </c>
      <c r="V46" s="400">
        <f t="shared" si="20"/>
        <v>-180032177.28</v>
      </c>
      <c r="W46" s="400">
        <f t="shared" si="20"/>
        <v>-180032177.28</v>
      </c>
      <c r="X46" s="400">
        <f t="shared" si="20"/>
        <v>-180032177.28</v>
      </c>
      <c r="Y46" s="400">
        <f t="shared" si="20"/>
        <v>-180032177.28</v>
      </c>
      <c r="Z46" s="400">
        <f t="shared" si="20"/>
        <v>-180032177.28</v>
      </c>
    </row>
    <row r="47" spans="1:26" x14ac:dyDescent="0.35">
      <c r="A47" s="349" t="s">
        <v>4879</v>
      </c>
      <c r="C47" s="421">
        <f>SUM($C$46:C46)</f>
        <v>1554867459.2356803</v>
      </c>
      <c r="D47" s="403">
        <f>SUM($C$46:D46)</f>
        <v>1489630414.9156804</v>
      </c>
      <c r="E47" s="403">
        <f>SUM($C$46:E46)</f>
        <v>1424393370.5956805</v>
      </c>
      <c r="F47" s="403">
        <f>SUM($C$46:F46)</f>
        <v>1359156326.2756805</v>
      </c>
      <c r="G47" s="403">
        <f>SUM($C$46:G46)</f>
        <v>1293919281.9556806</v>
      </c>
      <c r="H47" s="403">
        <f>SUM($C$46:H46)</f>
        <v>1228682237.6356807</v>
      </c>
      <c r="I47" s="403">
        <f>SUM($C$46:I46)</f>
        <v>1163445193.3156807</v>
      </c>
      <c r="J47" s="403">
        <f>SUM($C$46:J46)</f>
        <v>1098208148.9956808</v>
      </c>
      <c r="K47" s="403">
        <f>SUM($C$46:K46)</f>
        <v>1032971104.6756808</v>
      </c>
      <c r="L47" s="403">
        <f>SUM($C$46:L46)</f>
        <v>967734060.3556807</v>
      </c>
      <c r="M47" s="403">
        <f>SUM($C$46:M46)</f>
        <v>902497016.03568065</v>
      </c>
      <c r="N47" s="403">
        <f>SUM($C$46:N46)</f>
        <v>837259971.7156806</v>
      </c>
      <c r="O47" s="403">
        <f>SUM($C$46:O46)</f>
        <v>15017541305.10272</v>
      </c>
      <c r="P47" s="403">
        <f>SUM($C$46:P46)</f>
        <v>16837509127.82272</v>
      </c>
      <c r="Q47" s="403">
        <f>SUM($C$46:Q46)</f>
        <v>16657476950.542719</v>
      </c>
      <c r="R47" s="403">
        <f>SUM($C$46:R46)</f>
        <v>16477444773.262718</v>
      </c>
      <c r="S47" s="403">
        <f>SUM($C$46:S46)</f>
        <v>16297412595.982718</v>
      </c>
      <c r="T47" s="403">
        <f>SUM($C$46:T46)</f>
        <v>16117380418.702717</v>
      </c>
      <c r="U47" s="403">
        <f>SUM($C$46:U46)</f>
        <v>15937348241.422716</v>
      </c>
      <c r="V47" s="403">
        <f>SUM($C$46:V46)</f>
        <v>15757316064.142715</v>
      </c>
      <c r="W47" s="403">
        <f>SUM($C$46:W46)</f>
        <v>15577283886.862715</v>
      </c>
      <c r="X47" s="403">
        <f>SUM($C$46:X46)</f>
        <v>15397251709.582714</v>
      </c>
      <c r="Y47" s="403">
        <f>SUM($C$46:Y46)</f>
        <v>15217219532.302713</v>
      </c>
      <c r="Z47" s="403">
        <f>SUM($C$46:Z46)</f>
        <v>15037187355.022713</v>
      </c>
    </row>
    <row r="48" spans="1:26" x14ac:dyDescent="0.35">
      <c r="A48" s="186" t="s">
        <v>4880</v>
      </c>
      <c r="C48" s="413">
        <f>MAX(0,-C36)</f>
        <v>65237044.32</v>
      </c>
      <c r="D48" s="380">
        <f t="shared" ref="D48:Z48" si="21">MAX(0,-D36)</f>
        <v>65237044.32</v>
      </c>
      <c r="E48" s="380">
        <f t="shared" si="21"/>
        <v>65237044.32</v>
      </c>
      <c r="F48" s="380">
        <f t="shared" si="21"/>
        <v>65237044.32</v>
      </c>
      <c r="G48" s="380">
        <f t="shared" si="21"/>
        <v>65237044.32</v>
      </c>
      <c r="H48" s="380">
        <f t="shared" si="21"/>
        <v>65237044.32</v>
      </c>
      <c r="I48" s="380">
        <f t="shared" si="21"/>
        <v>65237044.32</v>
      </c>
      <c r="J48" s="380">
        <f t="shared" si="21"/>
        <v>65237044.32</v>
      </c>
      <c r="K48" s="380">
        <f t="shared" si="21"/>
        <v>65237044.32</v>
      </c>
      <c r="L48" s="380">
        <f t="shared" si="21"/>
        <v>65237044.32</v>
      </c>
      <c r="M48" s="380">
        <f t="shared" si="21"/>
        <v>65237044.32</v>
      </c>
      <c r="N48" s="380">
        <f t="shared" si="21"/>
        <v>65237044.32</v>
      </c>
      <c r="O48" s="380">
        <f t="shared" si="21"/>
        <v>180032177.28</v>
      </c>
      <c r="P48" s="380">
        <f t="shared" si="21"/>
        <v>180032177.28</v>
      </c>
      <c r="Q48" s="380">
        <f t="shared" si="21"/>
        <v>180032177.28</v>
      </c>
      <c r="R48" s="380">
        <f t="shared" si="21"/>
        <v>180032177.28</v>
      </c>
      <c r="S48" s="380">
        <f t="shared" si="21"/>
        <v>180032177.28</v>
      </c>
      <c r="T48" s="380">
        <f t="shared" si="21"/>
        <v>180032177.28</v>
      </c>
      <c r="U48" s="380">
        <f t="shared" si="21"/>
        <v>180032177.28</v>
      </c>
      <c r="V48" s="380">
        <f t="shared" si="21"/>
        <v>180032177.28</v>
      </c>
      <c r="W48" s="380">
        <f t="shared" si="21"/>
        <v>180032177.28</v>
      </c>
      <c r="X48" s="380">
        <f t="shared" si="21"/>
        <v>180032177.28</v>
      </c>
      <c r="Y48" s="380">
        <f t="shared" si="21"/>
        <v>180032177.28</v>
      </c>
      <c r="Z48" s="380">
        <f t="shared" si="21"/>
        <v>180032177.28</v>
      </c>
    </row>
    <row r="49" spans="1:26" x14ac:dyDescent="0.35">
      <c r="A49" s="188" t="s">
        <v>4881</v>
      </c>
      <c r="C49" s="422">
        <f>IFERROR(IF(C36&gt;=0,99,C47/C48),0)</f>
        <v>23.834118719553913</v>
      </c>
      <c r="D49" s="404">
        <f t="shared" ref="D49:Z49" si="22">IFERROR(IF(D36&gt;=0,99,D47/D48),0)</f>
        <v>22.834118719553913</v>
      </c>
      <c r="E49" s="404">
        <f t="shared" si="22"/>
        <v>21.834118719553917</v>
      </c>
      <c r="F49" s="404">
        <f t="shared" si="22"/>
        <v>20.834118719553917</v>
      </c>
      <c r="G49" s="404">
        <f t="shared" si="22"/>
        <v>19.834118719553917</v>
      </c>
      <c r="H49" s="404">
        <f t="shared" si="22"/>
        <v>18.834118719553921</v>
      </c>
      <c r="I49" s="404">
        <f t="shared" si="22"/>
        <v>17.834118719553921</v>
      </c>
      <c r="J49" s="404">
        <f t="shared" si="22"/>
        <v>16.834118719553921</v>
      </c>
      <c r="K49" s="404">
        <f t="shared" si="22"/>
        <v>15.834118719553921</v>
      </c>
      <c r="L49" s="404">
        <f t="shared" si="22"/>
        <v>14.834118719553919</v>
      </c>
      <c r="M49" s="404">
        <f t="shared" si="22"/>
        <v>13.834118719553919</v>
      </c>
      <c r="N49" s="404">
        <f t="shared" si="22"/>
        <v>12.834118719553919</v>
      </c>
      <c r="O49" s="404">
        <f t="shared" si="22"/>
        <v>83.415873384379921</v>
      </c>
      <c r="P49" s="404">
        <f t="shared" si="22"/>
        <v>93.524998598643393</v>
      </c>
      <c r="Q49" s="404">
        <f t="shared" si="22"/>
        <v>92.524998598643393</v>
      </c>
      <c r="R49" s="404">
        <f t="shared" si="22"/>
        <v>91.524998598643393</v>
      </c>
      <c r="S49" s="404">
        <f t="shared" si="22"/>
        <v>90.524998598643379</v>
      </c>
      <c r="T49" s="404">
        <f t="shared" si="22"/>
        <v>89.524998598643379</v>
      </c>
      <c r="U49" s="404">
        <f t="shared" si="22"/>
        <v>88.524998598643379</v>
      </c>
      <c r="V49" s="404">
        <f t="shared" si="22"/>
        <v>87.524998598643379</v>
      </c>
      <c r="W49" s="404">
        <f t="shared" si="22"/>
        <v>86.524998598643364</v>
      </c>
      <c r="X49" s="404">
        <f t="shared" si="22"/>
        <v>85.524998598643364</v>
      </c>
      <c r="Y49" s="404">
        <f t="shared" si="22"/>
        <v>84.524998598643364</v>
      </c>
      <c r="Z49" s="404">
        <f t="shared" si="22"/>
        <v>83.524998598643364</v>
      </c>
    </row>
    <row r="50" spans="1:26" x14ac:dyDescent="0.35">
      <c r="A50" s="188" t="s">
        <v>4882</v>
      </c>
      <c r="C50" s="423" t="str">
        <f>IF(C47&lt;0,"INSOLVENT",IF(C49&gt;=99,"Profitable",IF(C49&lt;3,"&lt;3mo ALERT",IF(C49&lt;6,"&lt;6mo","OK"))))</f>
        <v>OK</v>
      </c>
      <c r="D50" s="405" t="str">
        <f t="shared" ref="D50:Z50" si="23">IF(D47&lt;0,"INSOLVENT",IF(D49&gt;=99,"Profitable",IF(D49&lt;3,"&lt;3mo ALERT",IF(D49&lt;6,"&lt;6mo","OK"))))</f>
        <v>OK</v>
      </c>
      <c r="E50" s="405" t="str">
        <f t="shared" si="23"/>
        <v>OK</v>
      </c>
      <c r="F50" s="405" t="str">
        <f t="shared" si="23"/>
        <v>OK</v>
      </c>
      <c r="G50" s="405" t="str">
        <f t="shared" si="23"/>
        <v>OK</v>
      </c>
      <c r="H50" s="405" t="str">
        <f t="shared" si="23"/>
        <v>OK</v>
      </c>
      <c r="I50" s="405" t="str">
        <f t="shared" si="23"/>
        <v>OK</v>
      </c>
      <c r="J50" s="405" t="str">
        <f t="shared" si="23"/>
        <v>OK</v>
      </c>
      <c r="K50" s="405" t="str">
        <f t="shared" si="23"/>
        <v>OK</v>
      </c>
      <c r="L50" s="405" t="str">
        <f t="shared" si="23"/>
        <v>OK</v>
      </c>
      <c r="M50" s="405" t="str">
        <f t="shared" si="23"/>
        <v>OK</v>
      </c>
      <c r="N50" s="405" t="str">
        <f t="shared" si="23"/>
        <v>OK</v>
      </c>
      <c r="O50" s="405" t="str">
        <f t="shared" si="23"/>
        <v>OK</v>
      </c>
      <c r="P50" s="405" t="str">
        <f t="shared" si="23"/>
        <v>OK</v>
      </c>
      <c r="Q50" s="405" t="str">
        <f t="shared" si="23"/>
        <v>OK</v>
      </c>
      <c r="R50" s="405" t="str">
        <f t="shared" si="23"/>
        <v>OK</v>
      </c>
      <c r="S50" s="405" t="str">
        <f t="shared" si="23"/>
        <v>OK</v>
      </c>
      <c r="T50" s="405" t="str">
        <f t="shared" si="23"/>
        <v>OK</v>
      </c>
      <c r="U50" s="405" t="str">
        <f t="shared" si="23"/>
        <v>OK</v>
      </c>
      <c r="V50" s="405" t="str">
        <f t="shared" si="23"/>
        <v>OK</v>
      </c>
      <c r="W50" s="405" t="str">
        <f t="shared" si="23"/>
        <v>OK</v>
      </c>
      <c r="X50" s="405" t="str">
        <f t="shared" si="23"/>
        <v>OK</v>
      </c>
      <c r="Y50" s="405" t="str">
        <f t="shared" si="23"/>
        <v>OK</v>
      </c>
      <c r="Z50" s="405" t="str">
        <f t="shared" si="23"/>
        <v>OK</v>
      </c>
    </row>
    <row r="52" spans="1:26" x14ac:dyDescent="0.35">
      <c r="A52" s="406" t="s">
        <v>4883</v>
      </c>
    </row>
    <row r="53" spans="1:26" x14ac:dyDescent="0.35">
      <c r="A53" t="s">
        <v>4884</v>
      </c>
      <c r="B53" s="407">
        <f>SUM(C44:Z44)</f>
        <v>23500000000</v>
      </c>
    </row>
    <row r="54" spans="1:26" x14ac:dyDescent="0.35">
      <c r="A54" t="s">
        <v>4885</v>
      </c>
      <c r="B54" s="402">
        <f>SUM(C45:Z45)</f>
        <v>2000000000</v>
      </c>
    </row>
    <row r="55" spans="1:26" x14ac:dyDescent="0.35">
      <c r="A55" t="s">
        <v>4886</v>
      </c>
      <c r="B55" s="398">
        <f>SUM(C41:Z41)</f>
        <v>-7519581985.7772799</v>
      </c>
    </row>
    <row r="56" spans="1:26" x14ac:dyDescent="0.35">
      <c r="A56" t="s">
        <v>4887</v>
      </c>
      <c r="B56" s="400">
        <f>SUM(C36:Z36)</f>
        <v>-2943230659.2000008</v>
      </c>
    </row>
    <row r="57" spans="1:26" x14ac:dyDescent="0.35">
      <c r="A57" t="s">
        <v>4888</v>
      </c>
      <c r="B57" s="400">
        <f>Z47</f>
        <v>15037187355.022713</v>
      </c>
    </row>
    <row r="58" spans="1:26" x14ac:dyDescent="0.35">
      <c r="A58" t="s">
        <v>4889</v>
      </c>
      <c r="B58" s="398">
        <f>MIN(C47:Z47)</f>
        <v>837259971.7156806</v>
      </c>
    </row>
    <row r="59" spans="1:26" x14ac:dyDescent="0.35">
      <c r="A59" t="s">
        <v>4890</v>
      </c>
      <c r="B59" s="188" t="str">
        <f>IF(MIN(C47:Z47)&lt;0,"NEEDS MORE FUNDING","Funded through M24")</f>
        <v>Funded through M24</v>
      </c>
    </row>
    <row r="60" spans="1:26" x14ac:dyDescent="0.35">
      <c r="A60" s="408" t="s">
        <v>4891</v>
      </c>
    </row>
    <row r="62" spans="1:26" x14ac:dyDescent="0.35">
      <c r="A62" s="616" t="s">
        <v>5446</v>
      </c>
    </row>
    <row r="63" spans="1:26" x14ac:dyDescent="0.35">
      <c r="A63" s="556" t="s">
        <v>1468</v>
      </c>
      <c r="B63" s="556" t="s">
        <v>5447</v>
      </c>
      <c r="C63" s="617" t="s">
        <v>5448</v>
      </c>
      <c r="D63" s="556" t="s">
        <v>5449</v>
      </c>
      <c r="E63" s="556" t="s">
        <v>5450</v>
      </c>
      <c r="F63" s="556" t="s">
        <v>5451</v>
      </c>
      <c r="G63" s="556" t="s">
        <v>5739</v>
      </c>
    </row>
    <row r="64" spans="1:26" x14ac:dyDescent="0.35">
      <c r="A64" t="s">
        <v>5452</v>
      </c>
      <c r="B64" s="380">
        <f>'P&amp;L'!C6</f>
        <v>451723120</v>
      </c>
      <c r="C64" s="413">
        <f>SUM(C21:N21)</f>
        <v>486240000</v>
      </c>
      <c r="D64" s="380">
        <f>C64-B64</f>
        <v>34516880</v>
      </c>
      <c r="E64" s="191">
        <f>IFERROR(D64/B64,0)</f>
        <v>7.6411585929008902E-2</v>
      </c>
      <c r="F64" t="str">
        <f>IF(ABS(E64)&lt;=0.02,"OK","VARIANCE")</f>
        <v>VARIANCE</v>
      </c>
      <c r="G64" s="638">
        <f>IFERROR(B64/C64,"")</f>
        <v>0.92901266864100029</v>
      </c>
    </row>
    <row r="65" spans="1:7" x14ac:dyDescent="0.35">
      <c r="A65" t="s">
        <v>5453</v>
      </c>
      <c r="B65" s="380">
        <f>'P&amp;L'!D6</f>
        <v>2980177280</v>
      </c>
      <c r="C65" s="413">
        <f>SUM(O21:Z21)</f>
        <v>2218560000</v>
      </c>
      <c r="D65" s="380">
        <f>C65-B65</f>
        <v>-761617280</v>
      </c>
      <c r="E65" s="191">
        <f>IFERROR(D65/B65,0)</f>
        <v>-0.25556106514576205</v>
      </c>
      <c r="F65" t="str">
        <f>IF(ABS(E65)&lt;=0.02,"OK","VARIANCE")</f>
        <v>VARIANCE</v>
      </c>
      <c r="G65" s="638">
        <f>IFERROR(B65/C65,"")</f>
        <v>1.3432935237271022</v>
      </c>
    </row>
    <row r="66" spans="1:7" x14ac:dyDescent="0.35">
      <c r="A66" t="s">
        <v>5454</v>
      </c>
      <c r="B66" s="380">
        <f>'P&amp;L'!C15</f>
        <v>-673665390</v>
      </c>
      <c r="C66" s="413">
        <f>SUM(C36:N36)</f>
        <v>-782844531.84000015</v>
      </c>
      <c r="D66" s="380">
        <f>C66-B66</f>
        <v>-109179141.84000015</v>
      </c>
      <c r="E66" s="191">
        <f>IFERROR(D66/B66,0)</f>
        <v>0.1620673162977842</v>
      </c>
      <c r="F66" t="str">
        <f>IF(ABS(E66)&lt;=0.02,"OK","VARIANCE")</f>
        <v>VARIANCE</v>
      </c>
      <c r="G66" s="638">
        <f>IFERROR(B66/C66,"")</f>
        <v>0.86053534590912306</v>
      </c>
    </row>
    <row r="67" spans="1:7" x14ac:dyDescent="0.35">
      <c r="A67" t="s">
        <v>5455</v>
      </c>
      <c r="B67" s="380">
        <f>'P&amp;L'!D15</f>
        <v>-669549842.38080001</v>
      </c>
      <c r="C67" s="413">
        <f>SUM(O36:Z36)</f>
        <v>-2160386127.3600001</v>
      </c>
      <c r="D67" s="380">
        <f>C67-B67</f>
        <v>-1490836284.9792001</v>
      </c>
      <c r="E67" s="191">
        <f>IFERROR(D67/B67,0)</f>
        <v>2.2266248016399373</v>
      </c>
      <c r="F67" t="str">
        <f>IF(ABS(E67)&lt;=0.02,"OK","VARIANCE")</f>
        <v>VARIANCE</v>
      </c>
      <c r="G67" s="638">
        <f>IFERROR(B67/C67,"")</f>
        <v>0.30992137650827833</v>
      </c>
    </row>
    <row r="69" spans="1:7" x14ac:dyDescent="0.35">
      <c r="A69" s="188" t="s">
        <v>5456</v>
      </c>
      <c r="F69" s="188" t="str">
        <f>IF(COUNTIF(F64:F67,"VARIANCE")=0,"OK","VARIANCE — monthly model not tied to annual")</f>
        <v>VARIANCE — monthly model not tied to annual</v>
      </c>
    </row>
    <row r="70" spans="1:7" x14ac:dyDescent="0.35">
      <c r="A70" s="346" t="s">
        <v>5288</v>
      </c>
      <c r="B70" s="570" t="s">
        <v>5740</v>
      </c>
    </row>
  </sheetData>
  <mergeCells count="1">
    <mergeCell ref="A1:F1"/>
  </mergeCells>
  <conditionalFormatting sqref="C47:Z47">
    <cfRule type="dataBar" priority="3">
      <dataBar>
        <cfvo type="min"/>
        <cfvo type="max"/>
        <color rgb="FF638EC6"/>
      </dataBar>
      <extLst>
        <ext xmlns:x14="http://schemas.microsoft.com/office/spreadsheetml/2009/9/main" uri="{B025F937-C7B1-47D3-B67F-A62EFF666E3E}">
          <x14:id>{9C9F4C38-B957-4BA0-9A67-90CCB9F8AA1E}</x14:id>
        </ext>
      </extLst>
    </cfRule>
  </conditionalFormatting>
  <conditionalFormatting sqref="C50:Z50">
    <cfRule type="containsText" dxfId="16" priority="1" operator="containsText" text="ALERT">
      <formula>NOT(ISERROR(SEARCH("ALERT",C50)))</formula>
    </cfRule>
    <cfRule type="containsText" dxfId="15" priority="2" operator="containsText" text="INSOLVENT">
      <formula>NOT(ISERROR(SEARCH("INSOLVENT",C50)))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9C9F4C38-B957-4BA0-9A67-90CCB9F8AA1E}">
            <x14:dataBar minLength="0" maxLength="100" direction="leftToRight" negativeBarColorSameAsPositive="1" axisPosition="none">
              <x14:cfvo type="min"/>
              <x14:cfvo type="max"/>
            </x14:dataBar>
          </x14:cfRule>
          <xm:sqref>C47:Z47</xm:sqref>
        </x14:conditionalFormatting>
      </x14:conditionalFormattings>
    </ext>
  </extLst>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4E79"/>
  </sheetPr>
  <dimension ref="B1:G51"/>
  <sheetViews>
    <sheetView zoomScaleNormal="100" workbookViewId="0"/>
  </sheetViews>
  <sheetFormatPr defaultColWidth="8.54296875" defaultRowHeight="14.5" x14ac:dyDescent="0.35"/>
  <cols>
    <col min="1" max="1" width="3" customWidth="1"/>
    <col min="2" max="2" width="26" customWidth="1"/>
    <col min="3" max="7" width="18" customWidth="1"/>
  </cols>
  <sheetData>
    <row r="1" spans="2:7" ht="30" customHeight="1" x14ac:dyDescent="0.35">
      <c r="B1" s="487" t="s">
        <v>2991</v>
      </c>
      <c r="C1" s="487"/>
      <c r="D1" s="487"/>
      <c r="E1" s="487"/>
      <c r="F1" s="487"/>
      <c r="G1" s="487"/>
    </row>
    <row r="3" spans="2:7" ht="15" customHeight="1" x14ac:dyDescent="0.35">
      <c r="B3" s="485" t="s">
        <v>2992</v>
      </c>
      <c r="C3" s="485"/>
      <c r="D3" s="485"/>
      <c r="E3" s="485"/>
      <c r="F3" s="485"/>
      <c r="G3" s="485"/>
    </row>
    <row r="4" spans="2:7" ht="15" customHeight="1" x14ac:dyDescent="0.35">
      <c r="B4" s="15" t="s">
        <v>30</v>
      </c>
      <c r="C4" s="15" t="s">
        <v>2993</v>
      </c>
      <c r="D4" s="15" t="s">
        <v>2994</v>
      </c>
      <c r="E4" s="15" t="s">
        <v>34</v>
      </c>
      <c r="F4" s="15" t="s">
        <v>35</v>
      </c>
      <c r="G4" s="15" t="s">
        <v>2995</v>
      </c>
    </row>
    <row r="5" spans="2:7" ht="15" customHeight="1" x14ac:dyDescent="0.35">
      <c r="B5" s="1" t="s">
        <v>2996</v>
      </c>
      <c r="C5" s="16">
        <v>0</v>
      </c>
      <c r="D5" s="16">
        <v>0</v>
      </c>
      <c r="E5" s="16">
        <v>5000000000</v>
      </c>
      <c r="F5" s="17">
        <v>0</v>
      </c>
      <c r="G5" s="17">
        <v>0</v>
      </c>
    </row>
    <row r="6" spans="2:7" ht="15" customHeight="1" x14ac:dyDescent="0.35">
      <c r="B6" s="1" t="s">
        <v>36</v>
      </c>
      <c r="C6" s="16">
        <v>5000000000</v>
      </c>
      <c r="D6" s="16">
        <v>500000000</v>
      </c>
      <c r="E6" s="16">
        <v>5500000000</v>
      </c>
      <c r="F6" s="17">
        <v>9.0999999999999998E-2</v>
      </c>
      <c r="G6" s="17">
        <v>9.0999999999999998E-2</v>
      </c>
    </row>
    <row r="7" spans="2:7" ht="15" customHeight="1" x14ac:dyDescent="0.35">
      <c r="B7" s="1" t="s">
        <v>38</v>
      </c>
      <c r="C7" s="16">
        <v>8000000000</v>
      </c>
      <c r="D7" s="16">
        <v>2000000000</v>
      </c>
      <c r="E7" s="16">
        <v>10000000000</v>
      </c>
      <c r="F7" s="17">
        <v>0.2</v>
      </c>
      <c r="G7" s="17">
        <v>0.27200000000000002</v>
      </c>
    </row>
    <row r="8" spans="2:7" ht="15" customHeight="1" x14ac:dyDescent="0.35">
      <c r="B8" s="32" t="s">
        <v>40</v>
      </c>
      <c r="C8" s="86">
        <v>70000000000</v>
      </c>
      <c r="D8" s="86">
        <v>20000000000</v>
      </c>
      <c r="E8" s="86">
        <v>90000000000</v>
      </c>
      <c r="F8" s="87">
        <v>0.222</v>
      </c>
      <c r="G8" s="87">
        <v>0.434</v>
      </c>
    </row>
    <row r="9" spans="2:7" ht="15" customHeight="1" x14ac:dyDescent="0.35">
      <c r="B9" s="1" t="s">
        <v>42</v>
      </c>
      <c r="C9" s="16">
        <v>400000000000</v>
      </c>
      <c r="D9" s="16">
        <v>100000000000</v>
      </c>
      <c r="E9" s="16">
        <v>500000000000</v>
      </c>
      <c r="F9" s="17">
        <v>0.2</v>
      </c>
      <c r="G9" s="17">
        <v>0.54700000000000004</v>
      </c>
    </row>
    <row r="12" spans="2:7" ht="15" customHeight="1" x14ac:dyDescent="0.35">
      <c r="B12" s="485" t="s">
        <v>2997</v>
      </c>
      <c r="C12" s="485"/>
      <c r="D12" s="485"/>
      <c r="E12" s="485"/>
      <c r="F12" s="485"/>
      <c r="G12" s="485"/>
    </row>
    <row r="13" spans="2:7" ht="15" customHeight="1" x14ac:dyDescent="0.35">
      <c r="B13" s="15" t="s">
        <v>2998</v>
      </c>
      <c r="C13" s="15" t="s">
        <v>2999</v>
      </c>
      <c r="D13" s="15" t="s">
        <v>36</v>
      </c>
      <c r="E13" s="15" t="s">
        <v>38</v>
      </c>
      <c r="F13" s="15" t="s">
        <v>40</v>
      </c>
      <c r="G13" s="15" t="s">
        <v>42</v>
      </c>
    </row>
    <row r="14" spans="2:7" ht="15" customHeight="1" x14ac:dyDescent="0.35">
      <c r="B14" s="22" t="s">
        <v>3000</v>
      </c>
      <c r="C14" s="23">
        <v>1</v>
      </c>
      <c r="D14" s="23">
        <v>0.90900000000000003</v>
      </c>
      <c r="E14" s="23">
        <v>0.72699999999999998</v>
      </c>
      <c r="F14" s="23">
        <v>0.56599999999999995</v>
      </c>
      <c r="G14" s="23">
        <v>0.45300000000000001</v>
      </c>
    </row>
    <row r="15" spans="2:7" ht="15" customHeight="1" x14ac:dyDescent="0.35">
      <c r="B15" s="22" t="s">
        <v>3001</v>
      </c>
      <c r="C15" s="17">
        <v>0</v>
      </c>
      <c r="D15" s="23">
        <v>9.0999999999999998E-2</v>
      </c>
      <c r="E15" s="23">
        <v>7.2999999999999995E-2</v>
      </c>
      <c r="F15" s="23">
        <v>5.7000000000000002E-2</v>
      </c>
      <c r="G15" s="23">
        <v>4.4999999999999998E-2</v>
      </c>
    </row>
    <row r="16" spans="2:7" ht="15" customHeight="1" x14ac:dyDescent="0.35">
      <c r="B16" s="22" t="s">
        <v>3002</v>
      </c>
      <c r="C16" s="17">
        <v>0</v>
      </c>
      <c r="D16" s="17">
        <v>0</v>
      </c>
      <c r="E16" s="23">
        <v>0.2</v>
      </c>
      <c r="F16" s="23">
        <v>0.156</v>
      </c>
      <c r="G16" s="23">
        <v>0.124</v>
      </c>
    </row>
    <row r="17" spans="2:7" ht="15" customHeight="1" x14ac:dyDescent="0.35">
      <c r="B17" s="1" t="s">
        <v>3003</v>
      </c>
      <c r="C17" s="17">
        <v>0</v>
      </c>
      <c r="D17" s="17">
        <v>0</v>
      </c>
      <c r="E17" s="17">
        <v>0</v>
      </c>
      <c r="F17" s="23">
        <v>0.222</v>
      </c>
      <c r="G17" s="23">
        <v>0.17799999999999999</v>
      </c>
    </row>
    <row r="18" spans="2:7" ht="15" customHeight="1" x14ac:dyDescent="0.35">
      <c r="B18" s="22" t="s">
        <v>3004</v>
      </c>
      <c r="C18" s="17">
        <v>0</v>
      </c>
      <c r="D18" s="17">
        <v>0</v>
      </c>
      <c r="E18" s="17">
        <v>0</v>
      </c>
      <c r="F18" s="17">
        <v>0</v>
      </c>
      <c r="G18" s="23">
        <v>0.2</v>
      </c>
    </row>
    <row r="22" spans="2:7" ht="15" customHeight="1" x14ac:dyDescent="0.35">
      <c r="B22" s="485" t="s">
        <v>3005</v>
      </c>
      <c r="C22" s="485"/>
      <c r="D22" s="485"/>
      <c r="E22" s="485"/>
      <c r="F22" s="485"/>
      <c r="G22" s="485"/>
    </row>
    <row r="23" spans="2:7" ht="15" customHeight="1" x14ac:dyDescent="0.35">
      <c r="B23" s="15" t="s">
        <v>3006</v>
      </c>
      <c r="C23" s="15" t="s">
        <v>4032</v>
      </c>
      <c r="D23" s="15" t="s">
        <v>3007</v>
      </c>
      <c r="E23" s="15" t="s">
        <v>3008</v>
      </c>
      <c r="F23" s="15" t="s">
        <v>3009</v>
      </c>
      <c r="G23" s="15" t="s">
        <v>3010</v>
      </c>
    </row>
    <row r="24" spans="2:7" ht="15" customHeight="1" x14ac:dyDescent="0.35">
      <c r="B24" s="22" t="s">
        <v>3011</v>
      </c>
      <c r="C24" s="53">
        <f>'P&amp;L'!G6</f>
        <v>63947557349.976234</v>
      </c>
      <c r="D24" s="70">
        <v>8</v>
      </c>
      <c r="E24" s="39">
        <f>C24*D24</f>
        <v>511580458799.80988</v>
      </c>
      <c r="F24" s="39">
        <f>E24*$F$17</f>
        <v>113570861853.5578</v>
      </c>
      <c r="G24" s="88">
        <f>F24/D8</f>
        <v>5.6785430926778897</v>
      </c>
    </row>
    <row r="25" spans="2:7" ht="15" customHeight="1" x14ac:dyDescent="0.35">
      <c r="B25" s="22" t="s">
        <v>3012</v>
      </c>
      <c r="C25" s="53">
        <f>'P&amp;L'!G6</f>
        <v>63947557349.976234</v>
      </c>
      <c r="D25" s="70">
        <v>12</v>
      </c>
      <c r="E25" s="39">
        <f>C25*D25</f>
        <v>767370688199.71484</v>
      </c>
      <c r="F25" s="39">
        <f>E25*$F$17</f>
        <v>170356292780.3367</v>
      </c>
      <c r="G25" s="88">
        <f>F25/D8</f>
        <v>8.5178146390168354</v>
      </c>
    </row>
    <row r="26" spans="2:7" ht="15" customHeight="1" x14ac:dyDescent="0.35">
      <c r="B26" s="22" t="s">
        <v>3013</v>
      </c>
      <c r="C26" s="53">
        <f>'P&amp;L'!G6</f>
        <v>63947557349.976234</v>
      </c>
      <c r="D26" s="70">
        <v>18</v>
      </c>
      <c r="E26" s="39">
        <f>C26*D26</f>
        <v>1151056032299.5723</v>
      </c>
      <c r="F26" s="39">
        <f>E26*$F$17</f>
        <v>255534439170.50504</v>
      </c>
      <c r="G26" s="88">
        <f>F26/D8</f>
        <v>12.776721958525252</v>
      </c>
    </row>
    <row r="27" spans="2:7" ht="15" customHeight="1" x14ac:dyDescent="0.35">
      <c r="B27" s="1" t="s">
        <v>3014</v>
      </c>
      <c r="C27" s="53">
        <f>'P&amp;L'!G6*1.5</f>
        <v>95921336024.964355</v>
      </c>
      <c r="D27" s="70">
        <v>22</v>
      </c>
      <c r="E27" s="39">
        <f>C27*D27</f>
        <v>2110269392549.2158</v>
      </c>
      <c r="F27" s="39">
        <f>E27*$F$17</f>
        <v>468479805145.9259</v>
      </c>
      <c r="G27" s="88">
        <f>F27/D8</f>
        <v>23.423990257296296</v>
      </c>
    </row>
    <row r="29" spans="2:7" ht="15" customHeight="1" x14ac:dyDescent="0.35">
      <c r="B29" s="3" t="s">
        <v>3015</v>
      </c>
    </row>
    <row r="30" spans="2:7" ht="15" customHeight="1" x14ac:dyDescent="0.35">
      <c r="B30" s="1" t="s">
        <v>3016</v>
      </c>
      <c r="C30" t="s">
        <v>2804</v>
      </c>
    </row>
    <row r="31" spans="2:7" ht="15" customHeight="1" x14ac:dyDescent="0.35">
      <c r="B31" t="s">
        <v>3017</v>
      </c>
      <c r="C31" s="38">
        <v>7</v>
      </c>
    </row>
    <row r="32" spans="2:7" ht="15" customHeight="1" x14ac:dyDescent="0.35">
      <c r="B32" t="s">
        <v>3018</v>
      </c>
      <c r="C32" s="192">
        <f>IFERROR((F25/D8)^(1/C31)-1,0)</f>
        <v>0.35801330967123146</v>
      </c>
    </row>
    <row r="33" spans="2:4" x14ac:dyDescent="0.35">
      <c r="B33" s="346" t="s">
        <v>4033</v>
      </c>
      <c r="C33" s="193">
        <f>G25</f>
        <v>8.5178146390168354</v>
      </c>
    </row>
    <row r="35" spans="2:4" x14ac:dyDescent="0.35">
      <c r="B35" s="351" t="s">
        <v>4916</v>
      </c>
    </row>
    <row r="36" spans="2:4" x14ac:dyDescent="0.35">
      <c r="B36" s="346" t="s">
        <v>4917</v>
      </c>
    </row>
    <row r="37" spans="2:4" x14ac:dyDescent="0.35">
      <c r="B37" s="346" t="s">
        <v>4918</v>
      </c>
    </row>
    <row r="38" spans="2:4" x14ac:dyDescent="0.35">
      <c r="B38" s="428" t="s">
        <v>4919</v>
      </c>
    </row>
    <row r="40" spans="2:4" x14ac:dyDescent="0.35">
      <c r="B40" s="431" t="s">
        <v>4929</v>
      </c>
    </row>
    <row r="41" spans="2:4" x14ac:dyDescent="0.35">
      <c r="B41" t="s">
        <v>2619</v>
      </c>
      <c r="C41" s="188" t="s">
        <v>2429</v>
      </c>
      <c r="D41" s="188" t="s">
        <v>4930</v>
      </c>
    </row>
    <row r="42" spans="2:4" x14ac:dyDescent="0.35">
      <c r="B42" t="s">
        <v>4931</v>
      </c>
      <c r="C42" s="190">
        <v>6.8000000000000005E-2</v>
      </c>
      <c r="D42" t="s">
        <v>4932</v>
      </c>
    </row>
    <row r="43" spans="2:4" x14ac:dyDescent="0.35">
      <c r="B43" t="s">
        <v>4933</v>
      </c>
      <c r="C43" s="190">
        <v>0.06</v>
      </c>
      <c r="D43" t="s">
        <v>4934</v>
      </c>
    </row>
    <row r="44" spans="2:4" x14ac:dyDescent="0.35">
      <c r="B44" t="s">
        <v>4935</v>
      </c>
      <c r="C44" s="199">
        <v>1.2</v>
      </c>
      <c r="D44" t="s">
        <v>4936</v>
      </c>
    </row>
    <row r="45" spans="2:4" x14ac:dyDescent="0.35">
      <c r="B45" t="s">
        <v>4937</v>
      </c>
      <c r="C45" s="190">
        <v>0.1</v>
      </c>
      <c r="D45" t="s">
        <v>4938</v>
      </c>
    </row>
    <row r="46" spans="2:4" x14ac:dyDescent="0.35">
      <c r="B46" t="s">
        <v>4939</v>
      </c>
      <c r="C46" s="355">
        <f>C42+C44*C43+C45</f>
        <v>0.24000000000000002</v>
      </c>
      <c r="D46" s="342" t="s">
        <v>4940</v>
      </c>
    </row>
    <row r="47" spans="2:4" x14ac:dyDescent="0.35">
      <c r="B47" t="s">
        <v>4941</v>
      </c>
      <c r="C47" s="190">
        <v>0.12</v>
      </c>
      <c r="D47" t="s">
        <v>4942</v>
      </c>
    </row>
    <row r="48" spans="2:4" x14ac:dyDescent="0.35">
      <c r="B48" t="s">
        <v>4943</v>
      </c>
      <c r="C48" s="432">
        <v>0.22</v>
      </c>
      <c r="D48" t="s">
        <v>4944</v>
      </c>
    </row>
    <row r="49" spans="2:4" x14ac:dyDescent="0.35">
      <c r="B49" t="s">
        <v>4945</v>
      </c>
      <c r="C49" s="343" t="s">
        <v>4946</v>
      </c>
      <c r="D49" t="s">
        <v>4947</v>
      </c>
    </row>
    <row r="50" spans="2:4" x14ac:dyDescent="0.35">
      <c r="B50" t="s">
        <v>4948</v>
      </c>
      <c r="C50" s="436">
        <f>0.8*C46+0.2*C47*(1-C48)</f>
        <v>0.21072000000000002</v>
      </c>
      <c r="D50" s="437" t="s">
        <v>4949</v>
      </c>
    </row>
    <row r="51" spans="2:4" x14ac:dyDescent="0.35">
      <c r="B51" s="428" t="s">
        <v>4950</v>
      </c>
    </row>
  </sheetData>
  <mergeCells count="4">
    <mergeCell ref="B1:G1"/>
    <mergeCell ref="B3:G3"/>
    <mergeCell ref="B12:G12"/>
    <mergeCell ref="B22:G22"/>
  </mergeCells>
  <pageMargins left="0.75" right="0.75" top="1" bottom="1" header="0.511811023622047" footer="0.511811023622047"/>
  <pageSetup paperSize="9" orientation="portrait" horizontalDpi="300" verticalDpi="300"/>
  <legacy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7A0CA-18BA-4773-89CE-B6B7E76058CB}">
  <sheetPr>
    <tabColor rgb="FFF57F17"/>
  </sheetPr>
  <dimension ref="A1:F36"/>
  <sheetViews>
    <sheetView workbookViewId="0">
      <pane ySplit="2" topLeftCell="A3" activePane="bottomLeft" state="frozen"/>
      <selection pane="bottomLeft"/>
    </sheetView>
  </sheetViews>
  <sheetFormatPr defaultRowHeight="14.5" x14ac:dyDescent="0.35"/>
  <cols>
    <col min="1" max="1" width="32.7265625" customWidth="1"/>
    <col min="2" max="2" width="23.6328125" customWidth="1"/>
    <col min="3" max="3" width="36.36328125" customWidth="1"/>
    <col min="4" max="4" width="18.1796875" customWidth="1"/>
    <col min="5" max="5" width="14.54296875" customWidth="1"/>
    <col min="6" max="6" width="18.1796875" customWidth="1"/>
  </cols>
  <sheetData>
    <row r="1" spans="1:6" ht="17" x14ac:dyDescent="0.4">
      <c r="A1" s="460" t="s">
        <v>5074</v>
      </c>
    </row>
    <row r="2" spans="1:6" x14ac:dyDescent="0.35">
      <c r="A2" s="386" t="s">
        <v>5075</v>
      </c>
      <c r="B2" s="386" t="s">
        <v>5076</v>
      </c>
      <c r="C2" s="386" t="s">
        <v>5077</v>
      </c>
      <c r="D2" s="386" t="s">
        <v>5078</v>
      </c>
      <c r="E2" s="386" t="s">
        <v>1487</v>
      </c>
      <c r="F2" s="386" t="s">
        <v>5079</v>
      </c>
    </row>
    <row r="3" spans="1:6" x14ac:dyDescent="0.35">
      <c r="A3" s="353" t="s">
        <v>5080</v>
      </c>
    </row>
    <row r="4" spans="1:6" x14ac:dyDescent="0.35">
      <c r="A4" t="s">
        <v>5081</v>
      </c>
      <c r="B4" t="s">
        <v>5082</v>
      </c>
      <c r="C4" t="s">
        <v>5083</v>
      </c>
      <c r="D4" t="s">
        <v>3718</v>
      </c>
      <c r="E4" t="s">
        <v>1376</v>
      </c>
      <c r="F4" t="s">
        <v>5084</v>
      </c>
    </row>
    <row r="5" spans="1:6" x14ac:dyDescent="0.35">
      <c r="A5" t="s">
        <v>5085</v>
      </c>
      <c r="B5" t="s">
        <v>5086</v>
      </c>
      <c r="C5" t="s">
        <v>5087</v>
      </c>
      <c r="D5" t="s">
        <v>3742</v>
      </c>
      <c r="E5" t="s">
        <v>1376</v>
      </c>
      <c r="F5" t="s">
        <v>5088</v>
      </c>
    </row>
    <row r="6" spans="1:6" x14ac:dyDescent="0.35">
      <c r="A6" t="s">
        <v>5089</v>
      </c>
      <c r="B6" t="s">
        <v>5090</v>
      </c>
      <c r="C6" t="s">
        <v>5091</v>
      </c>
      <c r="D6" t="s">
        <v>5092</v>
      </c>
      <c r="E6" t="s">
        <v>1376</v>
      </c>
      <c r="F6" t="s">
        <v>5093</v>
      </c>
    </row>
    <row r="7" spans="1:6" x14ac:dyDescent="0.35">
      <c r="A7" t="s">
        <v>5094</v>
      </c>
      <c r="B7" t="s">
        <v>5095</v>
      </c>
      <c r="C7" t="s">
        <v>5096</v>
      </c>
      <c r="D7" t="s">
        <v>5097</v>
      </c>
      <c r="E7" t="s">
        <v>1376</v>
      </c>
      <c r="F7" t="s">
        <v>5098</v>
      </c>
    </row>
    <row r="8" spans="1:6" x14ac:dyDescent="0.35">
      <c r="A8" t="s">
        <v>5099</v>
      </c>
      <c r="B8" t="s">
        <v>5095</v>
      </c>
      <c r="C8" t="s">
        <v>5100</v>
      </c>
      <c r="D8" t="s">
        <v>5097</v>
      </c>
      <c r="E8" t="s">
        <v>5101</v>
      </c>
      <c r="F8" t="s">
        <v>5102</v>
      </c>
    </row>
    <row r="10" spans="1:6" x14ac:dyDescent="0.35">
      <c r="A10" s="349" t="s">
        <v>5103</v>
      </c>
    </row>
    <row r="11" spans="1:6" x14ac:dyDescent="0.35">
      <c r="A11" t="s">
        <v>5104</v>
      </c>
      <c r="B11" t="s">
        <v>5105</v>
      </c>
      <c r="C11" t="s">
        <v>5106</v>
      </c>
      <c r="D11" t="s">
        <v>5107</v>
      </c>
      <c r="E11" t="s">
        <v>5108</v>
      </c>
      <c r="F11" t="s">
        <v>5109</v>
      </c>
    </row>
    <row r="12" spans="1:6" x14ac:dyDescent="0.35">
      <c r="A12" t="s">
        <v>5110</v>
      </c>
      <c r="B12" t="s">
        <v>5111</v>
      </c>
      <c r="C12" t="s">
        <v>5112</v>
      </c>
      <c r="D12" t="s">
        <v>3742</v>
      </c>
      <c r="E12" t="s">
        <v>5113</v>
      </c>
      <c r="F12" t="s">
        <v>5114</v>
      </c>
    </row>
    <row r="13" spans="1:6" x14ac:dyDescent="0.35">
      <c r="A13" t="s">
        <v>5115</v>
      </c>
      <c r="B13" t="s">
        <v>5116</v>
      </c>
      <c r="C13" t="s">
        <v>5117</v>
      </c>
      <c r="D13" t="s">
        <v>3742</v>
      </c>
      <c r="E13" t="s">
        <v>5118</v>
      </c>
      <c r="F13" t="s">
        <v>5119</v>
      </c>
    </row>
    <row r="14" spans="1:6" x14ac:dyDescent="0.35">
      <c r="A14" t="s">
        <v>5120</v>
      </c>
      <c r="B14" t="s">
        <v>5121</v>
      </c>
      <c r="C14" t="s">
        <v>5122</v>
      </c>
      <c r="D14" t="s">
        <v>5107</v>
      </c>
      <c r="E14" t="s">
        <v>5123</v>
      </c>
      <c r="F14" t="s">
        <v>5124</v>
      </c>
    </row>
    <row r="16" spans="1:6" x14ac:dyDescent="0.35">
      <c r="A16" s="351" t="s">
        <v>5125</v>
      </c>
    </row>
    <row r="17" spans="1:6" x14ac:dyDescent="0.35">
      <c r="A17" t="s">
        <v>5126</v>
      </c>
      <c r="B17" t="s">
        <v>5127</v>
      </c>
      <c r="C17" t="s">
        <v>5128</v>
      </c>
      <c r="D17" t="s">
        <v>5129</v>
      </c>
      <c r="E17" t="s">
        <v>5118</v>
      </c>
      <c r="F17" t="s">
        <v>5130</v>
      </c>
    </row>
    <row r="18" spans="1:6" x14ac:dyDescent="0.35">
      <c r="A18" t="s">
        <v>5131</v>
      </c>
      <c r="B18" t="s">
        <v>5132</v>
      </c>
      <c r="C18" t="s">
        <v>5133</v>
      </c>
      <c r="D18" t="s">
        <v>5129</v>
      </c>
      <c r="E18" t="s">
        <v>5118</v>
      </c>
      <c r="F18" t="s">
        <v>5134</v>
      </c>
    </row>
    <row r="19" spans="1:6" x14ac:dyDescent="0.35">
      <c r="A19" t="s">
        <v>5135</v>
      </c>
      <c r="B19" t="s">
        <v>5136</v>
      </c>
      <c r="C19" t="s">
        <v>5137</v>
      </c>
      <c r="D19" t="s">
        <v>1743</v>
      </c>
      <c r="E19" t="s">
        <v>5138</v>
      </c>
      <c r="F19" t="s">
        <v>5139</v>
      </c>
    </row>
    <row r="20" spans="1:6" x14ac:dyDescent="0.35">
      <c r="A20" t="s">
        <v>5140</v>
      </c>
      <c r="B20" t="s">
        <v>5141</v>
      </c>
      <c r="C20" t="s">
        <v>5142</v>
      </c>
      <c r="D20" t="s">
        <v>4994</v>
      </c>
      <c r="E20" t="s">
        <v>5143</v>
      </c>
      <c r="F20" t="s">
        <v>5144</v>
      </c>
    </row>
    <row r="22" spans="1:6" x14ac:dyDescent="0.35">
      <c r="A22" s="393" t="s">
        <v>5145</v>
      </c>
    </row>
    <row r="23" spans="1:6" x14ac:dyDescent="0.35">
      <c r="A23" t="s">
        <v>5146</v>
      </c>
      <c r="B23" t="s">
        <v>5147</v>
      </c>
      <c r="C23" t="s">
        <v>5148</v>
      </c>
      <c r="D23" t="s">
        <v>5149</v>
      </c>
      <c r="E23" t="s">
        <v>5118</v>
      </c>
      <c r="F23" t="s">
        <v>5150</v>
      </c>
    </row>
    <row r="24" spans="1:6" x14ac:dyDescent="0.35">
      <c r="A24" t="s">
        <v>5151</v>
      </c>
      <c r="B24" t="s">
        <v>5147</v>
      </c>
      <c r="C24" t="s">
        <v>5152</v>
      </c>
      <c r="D24" t="s">
        <v>3718</v>
      </c>
      <c r="E24" t="s">
        <v>5138</v>
      </c>
      <c r="F24" t="s">
        <v>5153</v>
      </c>
    </row>
    <row r="26" spans="1:6" x14ac:dyDescent="0.35">
      <c r="A26" s="374" t="s">
        <v>5154</v>
      </c>
    </row>
    <row r="27" spans="1:6" x14ac:dyDescent="0.35">
      <c r="A27" t="s">
        <v>5155</v>
      </c>
      <c r="B27" t="s">
        <v>5156</v>
      </c>
      <c r="C27" t="s">
        <v>5157</v>
      </c>
      <c r="D27" t="s">
        <v>3742</v>
      </c>
      <c r="E27" t="s">
        <v>5158</v>
      </c>
      <c r="F27" t="s">
        <v>5159</v>
      </c>
    </row>
    <row r="28" spans="1:6" x14ac:dyDescent="0.35">
      <c r="A28" t="s">
        <v>5160</v>
      </c>
      <c r="B28" t="s">
        <v>5161</v>
      </c>
      <c r="C28" t="s">
        <v>5162</v>
      </c>
      <c r="D28" t="s">
        <v>3742</v>
      </c>
      <c r="E28" t="s">
        <v>5118</v>
      </c>
      <c r="F28" t="s">
        <v>5163</v>
      </c>
    </row>
    <row r="30" spans="1:6" x14ac:dyDescent="0.35">
      <c r="A30" s="461" t="s">
        <v>5164</v>
      </c>
    </row>
    <row r="31" spans="1:6" x14ac:dyDescent="0.35">
      <c r="A31" t="s">
        <v>5165</v>
      </c>
      <c r="B31" t="s">
        <v>5166</v>
      </c>
      <c r="C31" t="s">
        <v>5167</v>
      </c>
      <c r="D31" t="s">
        <v>5168</v>
      </c>
      <c r="E31" t="s">
        <v>5118</v>
      </c>
      <c r="F31" t="s">
        <v>5169</v>
      </c>
    </row>
    <row r="33" spans="1:1" x14ac:dyDescent="0.35">
      <c r="A33" s="362" t="s">
        <v>5170</v>
      </c>
    </row>
    <row r="34" spans="1:1" x14ac:dyDescent="0.35">
      <c r="A34" s="427" t="s">
        <v>5171</v>
      </c>
    </row>
    <row r="35" spans="1:1" x14ac:dyDescent="0.35">
      <c r="A35" s="427" t="s">
        <v>5172</v>
      </c>
    </row>
    <row r="36" spans="1:1" x14ac:dyDescent="0.35">
      <c r="A36" s="408" t="s">
        <v>5173</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31285-A38E-4760-8A87-6485804A8530}">
  <sheetPr>
    <tabColor rgb="FFF57F17"/>
  </sheetPr>
  <dimension ref="A1:G15"/>
  <sheetViews>
    <sheetView zoomScaleNormal="100" workbookViewId="0">
      <pane ySplit="3" topLeftCell="A4" activePane="bottomLeft" state="frozen"/>
      <selection pane="bottomLeft" activeCell="F27" sqref="F27"/>
    </sheetView>
  </sheetViews>
  <sheetFormatPr defaultColWidth="8.6328125" defaultRowHeight="14.5" x14ac:dyDescent="0.35"/>
  <cols>
    <col min="1" max="1" width="26" customWidth="1"/>
    <col min="2" max="2" width="36" customWidth="1"/>
    <col min="3" max="3" width="42" customWidth="1"/>
    <col min="4" max="4" width="34" customWidth="1"/>
    <col min="5" max="5" width="8" customWidth="1"/>
    <col min="6" max="6" width="30" customWidth="1"/>
    <col min="7" max="7" width="42" customWidth="1"/>
  </cols>
  <sheetData>
    <row r="1" spans="1:7" ht="17.25" customHeight="1" x14ac:dyDescent="0.4">
      <c r="A1" s="318" t="s">
        <v>3922</v>
      </c>
    </row>
    <row r="3" spans="1:7" ht="15" customHeight="1" x14ac:dyDescent="0.35">
      <c r="A3" s="326" t="s">
        <v>3671</v>
      </c>
      <c r="B3" s="326" t="s">
        <v>3921</v>
      </c>
      <c r="C3" s="326" t="s">
        <v>3920</v>
      </c>
      <c r="D3" s="326" t="s">
        <v>3919</v>
      </c>
      <c r="E3" s="326" t="s">
        <v>3918</v>
      </c>
      <c r="F3" s="326" t="s">
        <v>3917</v>
      </c>
      <c r="G3" s="326" t="s">
        <v>3916</v>
      </c>
    </row>
    <row r="4" spans="1:7" ht="23.25" customHeight="1" x14ac:dyDescent="0.35">
      <c r="A4" s="316" t="s">
        <v>3915</v>
      </c>
      <c r="B4" s="316" t="s">
        <v>3914</v>
      </c>
      <c r="C4" s="316" t="s">
        <v>3913</v>
      </c>
      <c r="D4" s="316" t="s">
        <v>3912</v>
      </c>
      <c r="E4" s="316" t="s">
        <v>2377</v>
      </c>
      <c r="F4" s="316" t="s">
        <v>3911</v>
      </c>
      <c r="G4" s="316" t="s">
        <v>3910</v>
      </c>
    </row>
    <row r="5" spans="1:7" ht="23.25" customHeight="1" x14ac:dyDescent="0.35">
      <c r="A5" s="316" t="s">
        <v>3909</v>
      </c>
      <c r="B5" s="316" t="s">
        <v>3908</v>
      </c>
      <c r="C5" s="316" t="s">
        <v>3907</v>
      </c>
      <c r="D5" s="316" t="s">
        <v>3906</v>
      </c>
      <c r="E5" s="316" t="s">
        <v>2377</v>
      </c>
      <c r="F5" s="316" t="s">
        <v>3905</v>
      </c>
      <c r="G5" s="316" t="s">
        <v>3904</v>
      </c>
    </row>
    <row r="6" spans="1:7" ht="23.25" customHeight="1" x14ac:dyDescent="0.35">
      <c r="A6" s="316" t="s">
        <v>3903</v>
      </c>
      <c r="B6" s="316" t="s">
        <v>3902</v>
      </c>
      <c r="C6" s="316" t="s">
        <v>3901</v>
      </c>
      <c r="D6" s="316" t="s">
        <v>3900</v>
      </c>
      <c r="E6" s="316" t="s">
        <v>2377</v>
      </c>
      <c r="F6" s="316" t="s">
        <v>3899</v>
      </c>
      <c r="G6" s="316" t="s">
        <v>3898</v>
      </c>
    </row>
    <row r="7" spans="1:7" ht="23.25" customHeight="1" x14ac:dyDescent="0.35">
      <c r="A7" s="316" t="s">
        <v>3897</v>
      </c>
      <c r="B7" s="316" t="s">
        <v>3896</v>
      </c>
      <c r="C7" s="316" t="s">
        <v>3895</v>
      </c>
      <c r="D7" s="316" t="s">
        <v>3894</v>
      </c>
      <c r="E7" s="316" t="s">
        <v>3845</v>
      </c>
      <c r="F7" s="316" t="s">
        <v>3893</v>
      </c>
      <c r="G7" s="316" t="s">
        <v>3892</v>
      </c>
    </row>
    <row r="8" spans="1:7" ht="23.25" customHeight="1" x14ac:dyDescent="0.35">
      <c r="A8" s="316" t="s">
        <v>3891</v>
      </c>
      <c r="B8" s="316" t="s">
        <v>3890</v>
      </c>
      <c r="C8" s="316" t="s">
        <v>3889</v>
      </c>
      <c r="D8" s="316" t="s">
        <v>3888</v>
      </c>
      <c r="E8" s="316" t="s">
        <v>2377</v>
      </c>
      <c r="F8" s="316" t="s">
        <v>3887</v>
      </c>
      <c r="G8" s="316" t="s">
        <v>3886</v>
      </c>
    </row>
    <row r="9" spans="1:7" ht="23.25" customHeight="1" x14ac:dyDescent="0.35">
      <c r="A9" s="316" t="s">
        <v>3885</v>
      </c>
      <c r="B9" s="316" t="s">
        <v>3884</v>
      </c>
      <c r="C9" s="316" t="s">
        <v>3883</v>
      </c>
      <c r="D9" s="316" t="s">
        <v>3882</v>
      </c>
      <c r="E9" s="316" t="s">
        <v>3845</v>
      </c>
      <c r="F9" s="316" t="s">
        <v>3881</v>
      </c>
      <c r="G9" s="316" t="s">
        <v>3880</v>
      </c>
    </row>
    <row r="10" spans="1:7" ht="15" customHeight="1" x14ac:dyDescent="0.35">
      <c r="A10" s="316" t="s">
        <v>3879</v>
      </c>
      <c r="B10" s="316" t="s">
        <v>3878</v>
      </c>
      <c r="C10" s="316" t="s">
        <v>3877</v>
      </c>
      <c r="D10" s="316" t="s">
        <v>3876</v>
      </c>
      <c r="E10" s="316" t="s">
        <v>3845</v>
      </c>
      <c r="F10" s="316" t="s">
        <v>3875</v>
      </c>
      <c r="G10" s="316" t="s">
        <v>3874</v>
      </c>
    </row>
    <row r="11" spans="1:7" ht="23.25" customHeight="1" x14ac:dyDescent="0.35">
      <c r="A11" s="316" t="s">
        <v>3873</v>
      </c>
      <c r="B11" s="316" t="s">
        <v>3872</v>
      </c>
      <c r="C11" s="316" t="s">
        <v>3871</v>
      </c>
      <c r="D11" s="316" t="s">
        <v>3870</v>
      </c>
      <c r="E11" s="316" t="s">
        <v>3845</v>
      </c>
      <c r="F11" s="316" t="s">
        <v>3869</v>
      </c>
      <c r="G11" s="316" t="s">
        <v>3868</v>
      </c>
    </row>
    <row r="12" spans="1:7" ht="23.25" customHeight="1" x14ac:dyDescent="0.35">
      <c r="A12" s="316" t="s">
        <v>3867</v>
      </c>
      <c r="B12" s="316" t="s">
        <v>3866</v>
      </c>
      <c r="C12" s="316" t="s">
        <v>3865</v>
      </c>
      <c r="D12" s="316" t="s">
        <v>3864</v>
      </c>
      <c r="E12" s="316" t="s">
        <v>2377</v>
      </c>
      <c r="F12" s="316" t="s">
        <v>3863</v>
      </c>
      <c r="G12" s="316" t="s">
        <v>3862</v>
      </c>
    </row>
    <row r="13" spans="1:7" ht="23.25" customHeight="1" x14ac:dyDescent="0.35">
      <c r="A13" s="316" t="s">
        <v>3861</v>
      </c>
      <c r="B13" s="316" t="s">
        <v>3860</v>
      </c>
      <c r="C13" s="316" t="s">
        <v>3859</v>
      </c>
      <c r="D13" s="316" t="s">
        <v>3858</v>
      </c>
      <c r="E13" s="316" t="s">
        <v>3845</v>
      </c>
      <c r="F13" s="316" t="s">
        <v>3857</v>
      </c>
      <c r="G13" s="316" t="s">
        <v>3856</v>
      </c>
    </row>
    <row r="14" spans="1:7" ht="15" customHeight="1" x14ac:dyDescent="0.35">
      <c r="A14" s="316" t="s">
        <v>3855</v>
      </c>
      <c r="B14" s="316" t="s">
        <v>3854</v>
      </c>
      <c r="C14" s="316" t="s">
        <v>3853</v>
      </c>
      <c r="D14" s="316" t="s">
        <v>3852</v>
      </c>
      <c r="E14" s="316" t="s">
        <v>3845</v>
      </c>
      <c r="F14" s="316" t="s">
        <v>3851</v>
      </c>
      <c r="G14" s="316" t="s">
        <v>3850</v>
      </c>
    </row>
    <row r="15" spans="1:7" ht="23.25" customHeight="1" x14ac:dyDescent="0.35">
      <c r="A15" s="316" t="s">
        <v>3849</v>
      </c>
      <c r="B15" s="316" t="s">
        <v>3848</v>
      </c>
      <c r="C15" s="316" t="s">
        <v>3847</v>
      </c>
      <c r="D15" s="316" t="s">
        <v>3846</v>
      </c>
      <c r="E15" s="316" t="s">
        <v>3845</v>
      </c>
      <c r="F15" s="316" t="s">
        <v>3844</v>
      </c>
      <c r="G15" s="316" t="s">
        <v>3843</v>
      </c>
    </row>
  </sheetData>
  <pageMargins left="0.75" right="0.75" top="1" bottom="1" header="0.511811023622047" footer="0.511811023622047"/>
  <pageSetup paperSize="9"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233E9-6E94-416A-A2AC-00B550F9B7D7}">
  <sheetPr>
    <tabColor rgb="FFF57F17"/>
  </sheetPr>
  <dimension ref="A1:L18"/>
  <sheetViews>
    <sheetView topLeftCell="F1" workbookViewId="0"/>
  </sheetViews>
  <sheetFormatPr defaultRowHeight="14.5" x14ac:dyDescent="0.35"/>
  <cols>
    <col min="1" max="12" width="21.81640625" customWidth="1"/>
  </cols>
  <sheetData>
    <row r="1" spans="1:12" ht="18.5" x14ac:dyDescent="0.45">
      <c r="A1" s="377" t="s">
        <v>4520</v>
      </c>
    </row>
    <row r="2" spans="1:12" x14ac:dyDescent="0.35">
      <c r="A2" s="346" t="s">
        <v>4521</v>
      </c>
    </row>
    <row r="4" spans="1:12" x14ac:dyDescent="0.35">
      <c r="A4" s="362" t="s">
        <v>4522</v>
      </c>
      <c r="B4" s="362" t="s">
        <v>1865</v>
      </c>
      <c r="C4" s="362" t="s">
        <v>4523</v>
      </c>
      <c r="D4" s="362" t="s">
        <v>4524</v>
      </c>
      <c r="E4" s="362" t="s">
        <v>4525</v>
      </c>
      <c r="F4" s="362" t="s">
        <v>4526</v>
      </c>
      <c r="G4" s="362" t="s">
        <v>4527</v>
      </c>
      <c r="H4" s="362" t="s">
        <v>4528</v>
      </c>
      <c r="I4" s="362" t="s">
        <v>4529</v>
      </c>
      <c r="J4" s="362" t="s">
        <v>4530</v>
      </c>
      <c r="K4" s="362" t="s">
        <v>4531</v>
      </c>
      <c r="L4" s="362" t="s">
        <v>1487</v>
      </c>
    </row>
    <row r="5" spans="1:12" x14ac:dyDescent="0.35">
      <c r="A5" t="s">
        <v>4532</v>
      </c>
      <c r="B5" t="s">
        <v>3742</v>
      </c>
      <c r="C5" t="s">
        <v>4533</v>
      </c>
      <c r="D5" t="s">
        <v>4534</v>
      </c>
      <c r="E5">
        <v>5</v>
      </c>
      <c r="F5">
        <v>3</v>
      </c>
      <c r="G5">
        <f t="shared" ref="G5:G14" si="0">E5*F5</f>
        <v>15</v>
      </c>
      <c r="H5" t="s">
        <v>4535</v>
      </c>
      <c r="I5" t="s">
        <v>4536</v>
      </c>
      <c r="J5" t="s">
        <v>4537</v>
      </c>
      <c r="K5" t="s">
        <v>4538</v>
      </c>
      <c r="L5" s="354" t="s">
        <v>4539</v>
      </c>
    </row>
    <row r="6" spans="1:12" x14ac:dyDescent="0.35">
      <c r="A6" t="s">
        <v>4540</v>
      </c>
      <c r="B6" t="s">
        <v>3742</v>
      </c>
      <c r="C6" t="s">
        <v>4541</v>
      </c>
      <c r="D6" t="s">
        <v>4542</v>
      </c>
      <c r="E6">
        <v>5</v>
      </c>
      <c r="F6">
        <v>3</v>
      </c>
      <c r="G6">
        <f t="shared" si="0"/>
        <v>15</v>
      </c>
      <c r="H6" t="s">
        <v>4543</v>
      </c>
      <c r="I6" t="s">
        <v>4544</v>
      </c>
      <c r="J6" t="s">
        <v>4545</v>
      </c>
      <c r="K6" t="s">
        <v>4546</v>
      </c>
      <c r="L6" s="354" t="s">
        <v>4547</v>
      </c>
    </row>
    <row r="7" spans="1:12" x14ac:dyDescent="0.35">
      <c r="A7" t="s">
        <v>4548</v>
      </c>
      <c r="B7" t="s">
        <v>3742</v>
      </c>
      <c r="C7" t="s">
        <v>4549</v>
      </c>
      <c r="D7" t="s">
        <v>4550</v>
      </c>
      <c r="E7">
        <v>4</v>
      </c>
      <c r="F7">
        <v>4</v>
      </c>
      <c r="G7">
        <f t="shared" si="0"/>
        <v>16</v>
      </c>
      <c r="H7" t="s">
        <v>4551</v>
      </c>
      <c r="I7" t="s">
        <v>4552</v>
      </c>
      <c r="J7" t="s">
        <v>4553</v>
      </c>
      <c r="K7" t="s">
        <v>4554</v>
      </c>
      <c r="L7" s="359" t="s">
        <v>4555</v>
      </c>
    </row>
    <row r="8" spans="1:12" x14ac:dyDescent="0.35">
      <c r="A8" t="s">
        <v>4556</v>
      </c>
      <c r="B8" t="s">
        <v>3742</v>
      </c>
      <c r="C8" t="s">
        <v>4557</v>
      </c>
      <c r="D8" t="s">
        <v>4558</v>
      </c>
      <c r="E8">
        <v>3</v>
      </c>
      <c r="F8">
        <v>4</v>
      </c>
      <c r="G8">
        <f t="shared" si="0"/>
        <v>12</v>
      </c>
      <c r="H8" t="s">
        <v>4559</v>
      </c>
      <c r="I8" t="s">
        <v>4560</v>
      </c>
      <c r="J8" t="s">
        <v>4561</v>
      </c>
      <c r="K8" t="s">
        <v>4562</v>
      </c>
      <c r="L8" t="s">
        <v>4563</v>
      </c>
    </row>
    <row r="9" spans="1:12" x14ac:dyDescent="0.35">
      <c r="A9" t="s">
        <v>4564</v>
      </c>
      <c r="B9" t="s">
        <v>3665</v>
      </c>
      <c r="C9" t="s">
        <v>4565</v>
      </c>
      <c r="D9" t="s">
        <v>4566</v>
      </c>
      <c r="E9">
        <v>4</v>
      </c>
      <c r="F9">
        <v>4</v>
      </c>
      <c r="G9">
        <f t="shared" si="0"/>
        <v>16</v>
      </c>
      <c r="H9" t="s">
        <v>4567</v>
      </c>
      <c r="I9" t="s">
        <v>4568</v>
      </c>
      <c r="J9" t="s">
        <v>4569</v>
      </c>
      <c r="K9" t="s">
        <v>4570</v>
      </c>
      <c r="L9" s="354" t="s">
        <v>4571</v>
      </c>
    </row>
    <row r="10" spans="1:12" x14ac:dyDescent="0.35">
      <c r="A10" t="s">
        <v>4572</v>
      </c>
      <c r="B10" t="s">
        <v>3664</v>
      </c>
      <c r="C10" t="s">
        <v>4573</v>
      </c>
      <c r="D10" t="s">
        <v>4574</v>
      </c>
      <c r="E10">
        <v>5</v>
      </c>
      <c r="F10">
        <v>4</v>
      </c>
      <c r="G10">
        <f t="shared" si="0"/>
        <v>20</v>
      </c>
      <c r="H10" t="s">
        <v>4575</v>
      </c>
      <c r="I10" t="s">
        <v>4576</v>
      </c>
      <c r="J10" t="s">
        <v>4577</v>
      </c>
      <c r="K10" t="s">
        <v>4578</v>
      </c>
      <c r="L10" s="354" t="s">
        <v>4579</v>
      </c>
    </row>
    <row r="11" spans="1:12" x14ac:dyDescent="0.35">
      <c r="A11" t="s">
        <v>4580</v>
      </c>
      <c r="B11" t="s">
        <v>3664</v>
      </c>
      <c r="C11" t="s">
        <v>4581</v>
      </c>
      <c r="D11" t="s">
        <v>4582</v>
      </c>
      <c r="E11">
        <v>5</v>
      </c>
      <c r="F11">
        <v>3</v>
      </c>
      <c r="G11">
        <f t="shared" si="0"/>
        <v>15</v>
      </c>
      <c r="H11" t="s">
        <v>4583</v>
      </c>
      <c r="I11" t="s">
        <v>4584</v>
      </c>
      <c r="J11" t="s">
        <v>4585</v>
      </c>
      <c r="K11" t="s">
        <v>4586</v>
      </c>
      <c r="L11" s="354" t="s">
        <v>4587</v>
      </c>
    </row>
    <row r="12" spans="1:12" x14ac:dyDescent="0.35">
      <c r="A12" t="s">
        <v>4588</v>
      </c>
      <c r="B12" t="s">
        <v>878</v>
      </c>
      <c r="C12" t="s">
        <v>4589</v>
      </c>
      <c r="D12" t="s">
        <v>4590</v>
      </c>
      <c r="E12">
        <v>4</v>
      </c>
      <c r="F12">
        <v>3</v>
      </c>
      <c r="G12">
        <f t="shared" si="0"/>
        <v>12</v>
      </c>
      <c r="H12" t="s">
        <v>4591</v>
      </c>
      <c r="I12" t="s">
        <v>4592</v>
      </c>
      <c r="J12" t="s">
        <v>4593</v>
      </c>
      <c r="K12" t="s">
        <v>4594</v>
      </c>
      <c r="L12" s="354" t="s">
        <v>4595</v>
      </c>
    </row>
    <row r="13" spans="1:12" x14ac:dyDescent="0.35">
      <c r="A13" t="s">
        <v>4596</v>
      </c>
      <c r="B13" t="s">
        <v>3718</v>
      </c>
      <c r="C13" t="s">
        <v>4597</v>
      </c>
      <c r="D13" t="s">
        <v>4598</v>
      </c>
      <c r="E13">
        <v>3</v>
      </c>
      <c r="F13">
        <v>4</v>
      </c>
      <c r="G13">
        <f t="shared" si="0"/>
        <v>12</v>
      </c>
      <c r="H13" t="s">
        <v>4599</v>
      </c>
      <c r="I13" t="s">
        <v>4600</v>
      </c>
      <c r="J13" t="s">
        <v>4601</v>
      </c>
      <c r="K13" t="s">
        <v>4602</v>
      </c>
      <c r="L13" s="354" t="s">
        <v>4603</v>
      </c>
    </row>
    <row r="14" spans="1:12" x14ac:dyDescent="0.35">
      <c r="A14" t="s">
        <v>4604</v>
      </c>
      <c r="B14" t="s">
        <v>3718</v>
      </c>
      <c r="C14" t="s">
        <v>4605</v>
      </c>
      <c r="D14" t="s">
        <v>4606</v>
      </c>
      <c r="E14">
        <v>4</v>
      </c>
      <c r="F14">
        <v>5</v>
      </c>
      <c r="G14">
        <f t="shared" si="0"/>
        <v>20</v>
      </c>
      <c r="H14" t="s">
        <v>4607</v>
      </c>
      <c r="I14" t="s">
        <v>4608</v>
      </c>
      <c r="J14" t="s">
        <v>4609</v>
      </c>
      <c r="K14" t="s">
        <v>4610</v>
      </c>
      <c r="L14" s="354" t="s">
        <v>4611</v>
      </c>
    </row>
    <row r="16" spans="1:12" x14ac:dyDescent="0.35">
      <c r="A16" s="362" t="s">
        <v>4612</v>
      </c>
      <c r="B16" t="s">
        <v>4613</v>
      </c>
      <c r="C16">
        <f>COUNTIF(G5:G14,"&gt;="&amp;16)</f>
        <v>4</v>
      </c>
      <c r="D16" t="s">
        <v>4614</v>
      </c>
    </row>
    <row r="17" spans="2:3" x14ac:dyDescent="0.35">
      <c r="B17" t="s">
        <v>4615</v>
      </c>
      <c r="C17">
        <f>COUNTIF(L5:L14,"OPEN*")</f>
        <v>10</v>
      </c>
    </row>
    <row r="18" spans="2:3" x14ac:dyDescent="0.35">
      <c r="B18" t="s">
        <v>4616</v>
      </c>
      <c r="C18" t="s">
        <v>4617</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6A762-4422-42BC-B7C5-0E9BFBCB68F8}">
  <sheetPr>
    <tabColor rgb="FFF57F17"/>
  </sheetPr>
  <dimension ref="A1:D46"/>
  <sheetViews>
    <sheetView zoomScaleNormal="100" workbookViewId="0"/>
  </sheetViews>
  <sheetFormatPr defaultColWidth="8.6328125" defaultRowHeight="14.5" x14ac:dyDescent="0.35"/>
  <cols>
    <col min="1" max="1" width="52" customWidth="1"/>
    <col min="2" max="2" width="34" customWidth="1"/>
    <col min="3" max="3" width="60" customWidth="1"/>
    <col min="4" max="4" width="50" customWidth="1"/>
  </cols>
  <sheetData>
    <row r="1" spans="1:4" ht="17.25" customHeight="1" x14ac:dyDescent="0.4">
      <c r="A1" s="318" t="s">
        <v>4012</v>
      </c>
    </row>
    <row r="3" spans="1:4" ht="15" customHeight="1" x14ac:dyDescent="0.35">
      <c r="A3" s="323" t="s">
        <v>4011</v>
      </c>
    </row>
    <row r="4" spans="1:4" ht="15" customHeight="1" x14ac:dyDescent="0.35">
      <c r="A4" s="326" t="s">
        <v>820</v>
      </c>
      <c r="B4" s="326" t="s">
        <v>3671</v>
      </c>
      <c r="C4" s="326" t="s">
        <v>4010</v>
      </c>
      <c r="D4" s="326" t="s">
        <v>3021</v>
      </c>
    </row>
    <row r="5" spans="1:4" ht="15" customHeight="1" x14ac:dyDescent="0.35">
      <c r="A5" s="316" t="s">
        <v>2806</v>
      </c>
      <c r="B5" s="316" t="s">
        <v>4009</v>
      </c>
      <c r="C5" s="316" t="s">
        <v>4008</v>
      </c>
      <c r="D5" s="316" t="s">
        <v>4007</v>
      </c>
    </row>
    <row r="6" spans="1:4" ht="15" customHeight="1" x14ac:dyDescent="0.35">
      <c r="A6" s="316" t="s">
        <v>2813</v>
      </c>
      <c r="B6" s="316" t="s">
        <v>3915</v>
      </c>
      <c r="C6" s="316" t="s">
        <v>4006</v>
      </c>
      <c r="D6" s="316" t="s">
        <v>4005</v>
      </c>
    </row>
    <row r="7" spans="1:4" ht="15" customHeight="1" x14ac:dyDescent="0.35">
      <c r="A7" s="316" t="s">
        <v>2817</v>
      </c>
      <c r="B7" s="316" t="s">
        <v>4004</v>
      </c>
      <c r="C7" s="316" t="s">
        <v>4003</v>
      </c>
      <c r="D7" s="316" t="s">
        <v>4002</v>
      </c>
    </row>
    <row r="8" spans="1:4" ht="15" customHeight="1" x14ac:dyDescent="0.35">
      <c r="A8" s="316" t="s">
        <v>2821</v>
      </c>
      <c r="B8" s="316" t="s">
        <v>4001</v>
      </c>
      <c r="C8" s="316" t="s">
        <v>4000</v>
      </c>
      <c r="D8" s="316" t="s">
        <v>3999</v>
      </c>
    </row>
    <row r="9" spans="1:4" ht="15" customHeight="1" x14ac:dyDescent="0.35">
      <c r="A9" s="316" t="s">
        <v>3121</v>
      </c>
      <c r="B9" s="316" t="s">
        <v>3909</v>
      </c>
      <c r="C9" s="316" t="s">
        <v>3998</v>
      </c>
      <c r="D9" s="316" t="s">
        <v>3997</v>
      </c>
    </row>
    <row r="11" spans="1:4" ht="15" customHeight="1" x14ac:dyDescent="0.35">
      <c r="A11" s="323" t="s">
        <v>3996</v>
      </c>
    </row>
    <row r="12" spans="1:4" ht="15" customHeight="1" x14ac:dyDescent="0.35">
      <c r="A12" s="326" t="s">
        <v>3671</v>
      </c>
      <c r="B12" s="326" t="s">
        <v>3995</v>
      </c>
      <c r="C12" s="326" t="s">
        <v>2605</v>
      </c>
    </row>
    <row r="13" spans="1:4" ht="23.25" customHeight="1" x14ac:dyDescent="0.35">
      <c r="A13" s="316" t="s">
        <v>3994</v>
      </c>
      <c r="B13" s="316" t="s">
        <v>3993</v>
      </c>
      <c r="C13" s="316" t="s">
        <v>3992</v>
      </c>
    </row>
    <row r="14" spans="1:4" ht="15" customHeight="1" x14ac:dyDescent="0.35">
      <c r="A14" s="316" t="s">
        <v>3991</v>
      </c>
      <c r="B14" s="316" t="s">
        <v>3990</v>
      </c>
      <c r="C14" s="316" t="s">
        <v>3989</v>
      </c>
    </row>
    <row r="15" spans="1:4" ht="15" customHeight="1" x14ac:dyDescent="0.35">
      <c r="A15" s="316" t="s">
        <v>3988</v>
      </c>
      <c r="B15" s="316" t="s">
        <v>3987</v>
      </c>
      <c r="C15" s="316" t="s">
        <v>3986</v>
      </c>
    </row>
    <row r="16" spans="1:4" ht="15" customHeight="1" x14ac:dyDescent="0.35">
      <c r="A16" s="316" t="s">
        <v>3985</v>
      </c>
      <c r="B16" s="316" t="s">
        <v>3984</v>
      </c>
      <c r="C16" s="316" t="s">
        <v>3983</v>
      </c>
    </row>
    <row r="17" spans="1:3" ht="15" customHeight="1" x14ac:dyDescent="0.35">
      <c r="A17" s="316" t="s">
        <v>3982</v>
      </c>
      <c r="B17" s="316" t="s">
        <v>3981</v>
      </c>
      <c r="C17" s="316" t="s">
        <v>3980</v>
      </c>
    </row>
    <row r="18" spans="1:3" ht="23.25" customHeight="1" x14ac:dyDescent="0.35">
      <c r="A18" s="316" t="s">
        <v>3312</v>
      </c>
      <c r="B18" s="316" t="s">
        <v>3979</v>
      </c>
      <c r="C18" s="316" t="s">
        <v>3978</v>
      </c>
    </row>
    <row r="19" spans="1:3" ht="15" customHeight="1" x14ac:dyDescent="0.35">
      <c r="A19" s="316" t="s">
        <v>3977</v>
      </c>
      <c r="B19" s="316" t="s">
        <v>3976</v>
      </c>
      <c r="C19" s="316" t="s">
        <v>3975</v>
      </c>
    </row>
    <row r="21" spans="1:3" ht="15" customHeight="1" x14ac:dyDescent="0.35">
      <c r="A21" s="323" t="s">
        <v>3974</v>
      </c>
    </row>
    <row r="22" spans="1:3" ht="15" customHeight="1" x14ac:dyDescent="0.35">
      <c r="A22" s="326" t="s">
        <v>3973</v>
      </c>
      <c r="B22" s="326" t="s">
        <v>3972</v>
      </c>
      <c r="C22" s="326" t="s">
        <v>3971</v>
      </c>
    </row>
    <row r="23" spans="1:3" ht="23.25" customHeight="1" x14ac:dyDescent="0.35">
      <c r="A23" s="316" t="s">
        <v>3970</v>
      </c>
      <c r="B23" s="316" t="s">
        <v>3969</v>
      </c>
      <c r="C23" s="316" t="s">
        <v>3968</v>
      </c>
    </row>
    <row r="24" spans="1:3" ht="23.25" customHeight="1" x14ac:dyDescent="0.35">
      <c r="A24" s="316" t="s">
        <v>3967</v>
      </c>
      <c r="B24" s="316" t="s">
        <v>3966</v>
      </c>
      <c r="C24" s="316" t="s">
        <v>3965</v>
      </c>
    </row>
    <row r="25" spans="1:3" ht="15" customHeight="1" x14ac:dyDescent="0.35">
      <c r="A25" s="316" t="s">
        <v>3964</v>
      </c>
      <c r="B25" s="316" t="s">
        <v>3963</v>
      </c>
      <c r="C25" s="316" t="s">
        <v>3962</v>
      </c>
    </row>
    <row r="26" spans="1:3" ht="23.25" customHeight="1" x14ac:dyDescent="0.35">
      <c r="A26" s="316" t="s">
        <v>3961</v>
      </c>
      <c r="B26" s="316" t="s">
        <v>3960</v>
      </c>
      <c r="C26" s="316" t="s">
        <v>3959</v>
      </c>
    </row>
    <row r="27" spans="1:3" ht="23.25" customHeight="1" x14ac:dyDescent="0.35">
      <c r="A27" s="316" t="s">
        <v>3958</v>
      </c>
      <c r="B27" s="316" t="s">
        <v>3957</v>
      </c>
      <c r="C27" s="316" t="s">
        <v>3956</v>
      </c>
    </row>
    <row r="28" spans="1:3" ht="15" customHeight="1" x14ac:dyDescent="0.35">
      <c r="A28" s="316" t="s">
        <v>3955</v>
      </c>
      <c r="B28" s="316" t="s">
        <v>3954</v>
      </c>
      <c r="C28" s="316" t="s">
        <v>3953</v>
      </c>
    </row>
    <row r="29" spans="1:3" ht="15" customHeight="1" x14ac:dyDescent="0.35">
      <c r="A29" s="316" t="s">
        <v>3952</v>
      </c>
      <c r="B29" s="316" t="s">
        <v>3951</v>
      </c>
      <c r="C29" s="316" t="s">
        <v>3950</v>
      </c>
    </row>
    <row r="30" spans="1:3" ht="15" customHeight="1" x14ac:dyDescent="0.35">
      <c r="A30" s="316" t="s">
        <v>3949</v>
      </c>
      <c r="B30" s="316" t="s">
        <v>3948</v>
      </c>
      <c r="C30" s="316" t="s">
        <v>3947</v>
      </c>
    </row>
    <row r="32" spans="1:3" ht="15" customHeight="1" x14ac:dyDescent="0.35">
      <c r="A32" s="323" t="s">
        <v>3946</v>
      </c>
    </row>
    <row r="33" spans="1:3" ht="15" customHeight="1" x14ac:dyDescent="0.35">
      <c r="A33" s="326" t="s">
        <v>3671</v>
      </c>
      <c r="B33" s="326" t="s">
        <v>3945</v>
      </c>
      <c r="C33" s="326" t="s">
        <v>3759</v>
      </c>
    </row>
    <row r="34" spans="1:3" ht="15" customHeight="1" x14ac:dyDescent="0.35">
      <c r="A34" s="316" t="s">
        <v>3944</v>
      </c>
      <c r="B34" s="316" t="s">
        <v>3943</v>
      </c>
      <c r="C34" s="316" t="s">
        <v>3942</v>
      </c>
    </row>
    <row r="35" spans="1:3" ht="15" customHeight="1" x14ac:dyDescent="0.35">
      <c r="A35" s="316" t="s">
        <v>3941</v>
      </c>
      <c r="B35" s="316" t="s">
        <v>3940</v>
      </c>
      <c r="C35" s="316" t="s">
        <v>3939</v>
      </c>
    </row>
    <row r="36" spans="1:3" ht="15" customHeight="1" x14ac:dyDescent="0.35">
      <c r="A36" s="316" t="s">
        <v>3938</v>
      </c>
      <c r="B36" s="316" t="s">
        <v>3937</v>
      </c>
      <c r="C36" s="316" t="s">
        <v>3936</v>
      </c>
    </row>
    <row r="37" spans="1:3" ht="15" customHeight="1" x14ac:dyDescent="0.35">
      <c r="A37" s="316" t="s">
        <v>3935</v>
      </c>
      <c r="B37" s="316" t="s">
        <v>3934</v>
      </c>
      <c r="C37" s="316" t="s">
        <v>3933</v>
      </c>
    </row>
    <row r="38" spans="1:3" ht="15" customHeight="1" x14ac:dyDescent="0.35">
      <c r="A38" s="316" t="s">
        <v>3932</v>
      </c>
      <c r="B38" s="316" t="s">
        <v>3931</v>
      </c>
      <c r="C38" s="316" t="s">
        <v>3930</v>
      </c>
    </row>
    <row r="40" spans="1:3" ht="15" customHeight="1" x14ac:dyDescent="0.35">
      <c r="A40" s="323" t="s">
        <v>3929</v>
      </c>
    </row>
    <row r="41" spans="1:3" ht="23.25" customHeight="1" x14ac:dyDescent="0.35">
      <c r="A41" s="316" t="s">
        <v>3928</v>
      </c>
    </row>
    <row r="42" spans="1:3" ht="23.25" customHeight="1" x14ac:dyDescent="0.35">
      <c r="A42" s="316" t="s">
        <v>3927</v>
      </c>
    </row>
    <row r="43" spans="1:3" ht="23.25" customHeight="1" x14ac:dyDescent="0.35">
      <c r="A43" s="316" t="s">
        <v>3926</v>
      </c>
    </row>
    <row r="44" spans="1:3" ht="23.25" customHeight="1" x14ac:dyDescent="0.35">
      <c r="A44" s="316" t="s">
        <v>3925</v>
      </c>
    </row>
    <row r="45" spans="1:3" ht="15" customHeight="1" x14ac:dyDescent="0.35">
      <c r="A45" s="316" t="s">
        <v>3924</v>
      </c>
    </row>
    <row r="46" spans="1:3" ht="23.25" customHeight="1" x14ac:dyDescent="0.35">
      <c r="A46" s="316" t="s">
        <v>3923</v>
      </c>
    </row>
  </sheetData>
  <pageMargins left="0.75" right="0.75" top="1" bottom="1" header="0.511811023622047" footer="0.511811023622047"/>
  <pageSetup paperSize="9" orientation="portrait" horizontalDpi="300" verticalDpi="300"/>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D8C2A-35F9-4F57-9866-85EA92302D6F}">
  <sheetPr>
    <tabColor rgb="FFF57F17"/>
  </sheetPr>
  <dimension ref="A1:M29"/>
  <sheetViews>
    <sheetView topLeftCell="E1" workbookViewId="0">
      <selection activeCell="E29" sqref="E29"/>
    </sheetView>
  </sheetViews>
  <sheetFormatPr defaultRowHeight="14.5" x14ac:dyDescent="0.35"/>
  <cols>
    <col min="1" max="1" width="21.81640625" customWidth="1"/>
    <col min="2" max="2" width="33.90625" customWidth="1"/>
    <col min="3" max="13" width="21.81640625" customWidth="1"/>
  </cols>
  <sheetData>
    <row r="1" spans="1:13" ht="18.5" x14ac:dyDescent="0.45">
      <c r="A1" s="553" t="s">
        <v>4618</v>
      </c>
      <c r="B1" s="553"/>
      <c r="C1" s="553"/>
      <c r="D1" s="553"/>
    </row>
    <row r="2" spans="1:13" x14ac:dyDescent="0.35">
      <c r="A2" s="346" t="s">
        <v>4619</v>
      </c>
    </row>
    <row r="4" spans="1:13" x14ac:dyDescent="0.35">
      <c r="A4" s="378" t="s">
        <v>4620</v>
      </c>
      <c r="B4" s="378" t="s">
        <v>4015</v>
      </c>
      <c r="C4" s="378" t="s">
        <v>2619</v>
      </c>
      <c r="D4" s="378" t="s">
        <v>1865</v>
      </c>
      <c r="E4" s="378" t="s">
        <v>4621</v>
      </c>
      <c r="F4" s="378" t="s">
        <v>4622</v>
      </c>
      <c r="G4" s="378" t="s">
        <v>4623</v>
      </c>
      <c r="H4" s="378" t="s">
        <v>3422</v>
      </c>
      <c r="I4" s="378" t="s">
        <v>4624</v>
      </c>
      <c r="J4" s="378" t="s">
        <v>4625</v>
      </c>
      <c r="K4" s="378" t="s">
        <v>4626</v>
      </c>
      <c r="L4" s="378" t="s">
        <v>4627</v>
      </c>
      <c r="M4" s="378" t="s">
        <v>4628</v>
      </c>
    </row>
    <row r="5" spans="1:13" x14ac:dyDescent="0.35">
      <c r="A5" t="s">
        <v>4629</v>
      </c>
      <c r="B5" t="s">
        <v>4044</v>
      </c>
      <c r="C5" t="s">
        <v>4630</v>
      </c>
      <c r="D5" t="s">
        <v>3742</v>
      </c>
      <c r="E5" t="s">
        <v>4631</v>
      </c>
      <c r="F5" t="s">
        <v>4632</v>
      </c>
      <c r="G5" s="380">
        <v>48000</v>
      </c>
      <c r="H5" t="s">
        <v>4633</v>
      </c>
      <c r="I5" t="s">
        <v>4634</v>
      </c>
      <c r="J5" t="s">
        <v>4635</v>
      </c>
      <c r="K5" t="s">
        <v>4636</v>
      </c>
      <c r="L5" t="s">
        <v>4637</v>
      </c>
      <c r="M5" t="s">
        <v>1481</v>
      </c>
    </row>
    <row r="6" spans="1:13" x14ac:dyDescent="0.35">
      <c r="A6" t="s">
        <v>4638</v>
      </c>
      <c r="B6" t="s">
        <v>4044</v>
      </c>
      <c r="C6" t="s">
        <v>4639</v>
      </c>
      <c r="D6" t="s">
        <v>3742</v>
      </c>
      <c r="E6" t="s">
        <v>4640</v>
      </c>
      <c r="F6" t="s">
        <v>4641</v>
      </c>
      <c r="G6" s="380">
        <v>672000</v>
      </c>
      <c r="H6" t="s">
        <v>4642</v>
      </c>
      <c r="I6" t="s">
        <v>4643</v>
      </c>
      <c r="J6" t="s">
        <v>4644</v>
      </c>
      <c r="K6" t="s">
        <v>4645</v>
      </c>
      <c r="L6" t="s">
        <v>4637</v>
      </c>
      <c r="M6" t="s">
        <v>1481</v>
      </c>
    </row>
    <row r="7" spans="1:13" x14ac:dyDescent="0.35">
      <c r="A7" t="s">
        <v>4646</v>
      </c>
      <c r="B7" t="s">
        <v>4044</v>
      </c>
      <c r="C7" t="s">
        <v>4647</v>
      </c>
      <c r="D7" t="s">
        <v>1605</v>
      </c>
      <c r="E7" t="s">
        <v>4648</v>
      </c>
      <c r="F7" t="s">
        <v>4649</v>
      </c>
      <c r="G7" s="380">
        <v>752000</v>
      </c>
      <c r="H7" t="s">
        <v>4650</v>
      </c>
      <c r="I7" t="s">
        <v>4651</v>
      </c>
      <c r="J7" t="s">
        <v>4652</v>
      </c>
      <c r="K7" t="s">
        <v>4653</v>
      </c>
      <c r="L7" t="s">
        <v>4637</v>
      </c>
      <c r="M7" t="s">
        <v>1481</v>
      </c>
    </row>
    <row r="8" spans="1:13" x14ac:dyDescent="0.35">
      <c r="A8" t="s">
        <v>4654</v>
      </c>
      <c r="B8" t="s">
        <v>4044</v>
      </c>
      <c r="C8" t="s">
        <v>4655</v>
      </c>
      <c r="D8" t="s">
        <v>4656</v>
      </c>
      <c r="E8" t="s">
        <v>4657</v>
      </c>
      <c r="F8" t="s">
        <v>4658</v>
      </c>
      <c r="G8" s="380">
        <v>440000</v>
      </c>
      <c r="H8" t="s">
        <v>4659</v>
      </c>
      <c r="I8" t="s">
        <v>4660</v>
      </c>
      <c r="J8" t="s">
        <v>4661</v>
      </c>
      <c r="K8" t="s">
        <v>4662</v>
      </c>
      <c r="L8" t="s">
        <v>4663</v>
      </c>
      <c r="M8" t="s">
        <v>4664</v>
      </c>
    </row>
    <row r="9" spans="1:13" x14ac:dyDescent="0.35">
      <c r="A9" t="s">
        <v>4665</v>
      </c>
      <c r="B9" t="s">
        <v>4044</v>
      </c>
      <c r="C9" t="s">
        <v>4666</v>
      </c>
      <c r="D9" t="s">
        <v>1743</v>
      </c>
      <c r="E9" t="s">
        <v>4667</v>
      </c>
      <c r="F9" t="s">
        <v>4668</v>
      </c>
      <c r="G9" s="380">
        <v>16000000</v>
      </c>
      <c r="H9" t="s">
        <v>4669</v>
      </c>
      <c r="I9" t="s">
        <v>4670</v>
      </c>
      <c r="J9" t="s">
        <v>4671</v>
      </c>
      <c r="K9" t="s">
        <v>4672</v>
      </c>
      <c r="L9" t="s">
        <v>4637</v>
      </c>
      <c r="M9" t="s">
        <v>1481</v>
      </c>
    </row>
    <row r="10" spans="1:13" x14ac:dyDescent="0.35">
      <c r="A10" t="s">
        <v>4673</v>
      </c>
      <c r="B10" t="s">
        <v>4016</v>
      </c>
      <c r="C10" t="s">
        <v>4674</v>
      </c>
      <c r="D10" t="s">
        <v>1743</v>
      </c>
      <c r="E10" t="s">
        <v>4675</v>
      </c>
      <c r="F10" t="s">
        <v>4676</v>
      </c>
      <c r="G10" s="380">
        <v>480000</v>
      </c>
      <c r="H10" t="s">
        <v>4677</v>
      </c>
      <c r="I10" t="s">
        <v>4678</v>
      </c>
      <c r="J10" t="s">
        <v>4679</v>
      </c>
      <c r="K10" t="s">
        <v>4680</v>
      </c>
      <c r="L10" t="s">
        <v>4681</v>
      </c>
      <c r="M10" t="s">
        <v>1481</v>
      </c>
    </row>
    <row r="11" spans="1:13" x14ac:dyDescent="0.35">
      <c r="A11" t="s">
        <v>4682</v>
      </c>
      <c r="B11" t="s">
        <v>4016</v>
      </c>
      <c r="C11" t="s">
        <v>4683</v>
      </c>
      <c r="D11" t="s">
        <v>3742</v>
      </c>
      <c r="E11" t="s">
        <v>4684</v>
      </c>
      <c r="F11" t="s">
        <v>4685</v>
      </c>
      <c r="G11" s="380">
        <v>32000</v>
      </c>
      <c r="H11" t="s">
        <v>4686</v>
      </c>
      <c r="I11" t="s">
        <v>4643</v>
      </c>
      <c r="J11" t="s">
        <v>4687</v>
      </c>
      <c r="K11" t="s">
        <v>4688</v>
      </c>
      <c r="L11" t="s">
        <v>4681</v>
      </c>
      <c r="M11" t="s">
        <v>1481</v>
      </c>
    </row>
    <row r="12" spans="1:13" x14ac:dyDescent="0.35">
      <c r="A12" t="s">
        <v>4689</v>
      </c>
      <c r="B12" t="s">
        <v>4016</v>
      </c>
      <c r="C12" t="s">
        <v>4690</v>
      </c>
      <c r="D12" t="s">
        <v>1605</v>
      </c>
      <c r="E12" t="s">
        <v>4691</v>
      </c>
      <c r="F12" t="s">
        <v>4692</v>
      </c>
      <c r="G12" s="380">
        <v>184000</v>
      </c>
      <c r="H12" t="s">
        <v>4693</v>
      </c>
      <c r="I12" t="s">
        <v>4694</v>
      </c>
      <c r="J12" t="s">
        <v>4695</v>
      </c>
      <c r="K12" t="s">
        <v>4696</v>
      </c>
      <c r="L12" t="s">
        <v>4681</v>
      </c>
      <c r="M12" t="s">
        <v>1481</v>
      </c>
    </row>
    <row r="13" spans="1:13" x14ac:dyDescent="0.35">
      <c r="A13" t="s">
        <v>4697</v>
      </c>
      <c r="B13" t="s">
        <v>4016</v>
      </c>
      <c r="C13" t="s">
        <v>4698</v>
      </c>
      <c r="D13" t="s">
        <v>1743</v>
      </c>
      <c r="E13" t="s">
        <v>4699</v>
      </c>
      <c r="F13" t="s">
        <v>4700</v>
      </c>
      <c r="G13" s="380">
        <v>280000</v>
      </c>
      <c r="H13" t="s">
        <v>4701</v>
      </c>
      <c r="I13" t="s">
        <v>4702</v>
      </c>
      <c r="J13" t="s">
        <v>4703</v>
      </c>
      <c r="K13" t="s">
        <v>4704</v>
      </c>
      <c r="L13" t="s">
        <v>4681</v>
      </c>
      <c r="M13" t="s">
        <v>1481</v>
      </c>
    </row>
    <row r="14" spans="1:13" x14ac:dyDescent="0.35">
      <c r="A14" t="s">
        <v>4705</v>
      </c>
      <c r="B14" t="s">
        <v>4016</v>
      </c>
      <c r="C14" t="s">
        <v>4706</v>
      </c>
      <c r="D14" t="s">
        <v>878</v>
      </c>
      <c r="E14" t="s">
        <v>4707</v>
      </c>
      <c r="F14" t="s">
        <v>4708</v>
      </c>
      <c r="G14" s="380">
        <v>1240000</v>
      </c>
      <c r="H14" t="s">
        <v>4709</v>
      </c>
      <c r="I14" t="s">
        <v>4678</v>
      </c>
      <c r="J14" t="s">
        <v>4710</v>
      </c>
      <c r="K14" t="s">
        <v>4711</v>
      </c>
      <c r="L14" t="s">
        <v>4637</v>
      </c>
      <c r="M14" t="s">
        <v>1481</v>
      </c>
    </row>
    <row r="16" spans="1:13" x14ac:dyDescent="0.35">
      <c r="A16" s="379" t="s">
        <v>4712</v>
      </c>
    </row>
    <row r="17" spans="1:5" x14ac:dyDescent="0.35">
      <c r="A17" t="s">
        <v>4713</v>
      </c>
    </row>
    <row r="18" spans="1:5" x14ac:dyDescent="0.35">
      <c r="B18" t="s">
        <v>4714</v>
      </c>
      <c r="C18" cm="1">
        <f t="array" ref="C18">SUMPRODUCT(IF(B5:B14="P0",IFERROR(AVERAGE(IFERROR(VALUE(LEFT(F5:F14,FIND("/",F5:F14)-1)),0),0)*1,0),0))</f>
        <v>0</v>
      </c>
    </row>
    <row r="29" spans="1:5" x14ac:dyDescent="0.35">
      <c r="E29" t="s">
        <v>4954</v>
      </c>
    </row>
  </sheetData>
  <mergeCells count="1">
    <mergeCell ref="A1:D1"/>
  </mergeCells>
  <pageMargins left="0.7" right="0.7" top="0.75" bottom="0.75" header="0.3" footer="0.3"/>
  <legacy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30544-3BE5-4F2C-9D19-87C5C9130348}">
  <sheetPr>
    <tabColor rgb="FF00838F"/>
  </sheetPr>
  <dimension ref="A1:J41"/>
  <sheetViews>
    <sheetView topLeftCell="D7" workbookViewId="0"/>
  </sheetViews>
  <sheetFormatPr defaultRowHeight="14.5" x14ac:dyDescent="0.35"/>
  <cols>
    <col min="1" max="10" width="32.7265625" customWidth="1"/>
  </cols>
  <sheetData>
    <row r="1" spans="1:10" ht="18.5" x14ac:dyDescent="0.45">
      <c r="A1" s="368" t="s">
        <v>4139</v>
      </c>
    </row>
    <row r="2" spans="1:10" x14ac:dyDescent="0.35">
      <c r="A2" s="346" t="s">
        <v>4140</v>
      </c>
    </row>
    <row r="3" spans="1:10" x14ac:dyDescent="0.35">
      <c r="A3" s="357" t="s">
        <v>4141</v>
      </c>
      <c r="B3" s="357" t="s">
        <v>4142</v>
      </c>
      <c r="C3" s="357" t="s">
        <v>4143</v>
      </c>
    </row>
    <row r="5" spans="1:10" x14ac:dyDescent="0.35">
      <c r="A5" s="349" t="s">
        <v>4144</v>
      </c>
    </row>
    <row r="6" spans="1:10" x14ac:dyDescent="0.35">
      <c r="A6" t="s">
        <v>4145</v>
      </c>
    </row>
    <row r="7" spans="1:10" x14ac:dyDescent="0.35">
      <c r="A7" t="s">
        <v>4146</v>
      </c>
    </row>
    <row r="9" spans="1:10" x14ac:dyDescent="0.35">
      <c r="A9" s="369" t="s">
        <v>820</v>
      </c>
      <c r="B9" s="369" t="s">
        <v>4147</v>
      </c>
      <c r="C9" s="369" t="s">
        <v>1865</v>
      </c>
      <c r="D9" s="369" t="s">
        <v>4148</v>
      </c>
      <c r="E9" s="369" t="s">
        <v>4149</v>
      </c>
      <c r="F9" s="369" t="s">
        <v>4150</v>
      </c>
      <c r="G9" s="369" t="s">
        <v>4151</v>
      </c>
      <c r="H9" s="369" t="s">
        <v>4152</v>
      </c>
      <c r="I9" s="369" t="s">
        <v>4153</v>
      </c>
      <c r="J9" s="369" t="s">
        <v>1487</v>
      </c>
    </row>
    <row r="10" spans="1:10" x14ac:dyDescent="0.35">
      <c r="A10">
        <v>1</v>
      </c>
      <c r="B10" t="s">
        <v>4154</v>
      </c>
      <c r="C10" t="s">
        <v>4155</v>
      </c>
      <c r="D10" t="s">
        <v>4156</v>
      </c>
      <c r="E10" t="s">
        <v>4157</v>
      </c>
      <c r="F10" t="s">
        <v>4158</v>
      </c>
      <c r="G10" t="s">
        <v>4159</v>
      </c>
      <c r="H10" t="s">
        <v>4160</v>
      </c>
      <c r="I10" t="s">
        <v>4161</v>
      </c>
      <c r="J10" t="s">
        <v>4162</v>
      </c>
    </row>
    <row r="11" spans="1:10" x14ac:dyDescent="0.35">
      <c r="A11">
        <v>2</v>
      </c>
      <c r="B11" t="s">
        <v>4163</v>
      </c>
      <c r="C11" t="s">
        <v>4155</v>
      </c>
      <c r="D11" t="s">
        <v>4164</v>
      </c>
      <c r="E11" t="s">
        <v>4165</v>
      </c>
      <c r="F11" t="s">
        <v>4166</v>
      </c>
      <c r="G11" t="s">
        <v>4167</v>
      </c>
      <c r="H11" t="s">
        <v>4168</v>
      </c>
      <c r="I11" t="s">
        <v>4169</v>
      </c>
      <c r="J11" t="s">
        <v>4162</v>
      </c>
    </row>
    <row r="12" spans="1:10" x14ac:dyDescent="0.35">
      <c r="A12">
        <v>3</v>
      </c>
      <c r="B12" t="s">
        <v>4170</v>
      </c>
      <c r="C12" t="s">
        <v>4171</v>
      </c>
      <c r="D12" t="s">
        <v>4172</v>
      </c>
      <c r="E12" t="s">
        <v>4173</v>
      </c>
      <c r="F12" t="s">
        <v>4174</v>
      </c>
      <c r="G12" t="s">
        <v>4175</v>
      </c>
      <c r="H12" t="s">
        <v>4176</v>
      </c>
      <c r="I12" t="s">
        <v>4177</v>
      </c>
      <c r="J12" t="s">
        <v>4162</v>
      </c>
    </row>
    <row r="13" spans="1:10" x14ac:dyDescent="0.35">
      <c r="A13">
        <v>4</v>
      </c>
      <c r="B13" t="s">
        <v>4178</v>
      </c>
      <c r="C13" t="s">
        <v>4179</v>
      </c>
      <c r="D13" t="s">
        <v>4180</v>
      </c>
      <c r="E13" t="s">
        <v>4181</v>
      </c>
      <c r="F13" t="s">
        <v>4182</v>
      </c>
      <c r="G13" t="s">
        <v>4183</v>
      </c>
      <c r="H13" t="s">
        <v>4184</v>
      </c>
      <c r="I13" t="s">
        <v>4185</v>
      </c>
      <c r="J13" t="s">
        <v>4162</v>
      </c>
    </row>
    <row r="14" spans="1:10" x14ac:dyDescent="0.35">
      <c r="A14">
        <v>5</v>
      </c>
      <c r="B14" t="s">
        <v>4186</v>
      </c>
      <c r="C14" t="s">
        <v>4187</v>
      </c>
      <c r="D14" t="s">
        <v>4188</v>
      </c>
      <c r="E14" t="s">
        <v>4189</v>
      </c>
      <c r="F14" t="s">
        <v>4190</v>
      </c>
      <c r="G14" t="s">
        <v>4191</v>
      </c>
      <c r="H14" t="s">
        <v>4192</v>
      </c>
      <c r="I14" t="s">
        <v>4193</v>
      </c>
      <c r="J14" t="s">
        <v>4162</v>
      </c>
    </row>
    <row r="15" spans="1:10" x14ac:dyDescent="0.35">
      <c r="A15">
        <v>6</v>
      </c>
      <c r="B15" t="s">
        <v>4194</v>
      </c>
      <c r="C15" t="s">
        <v>4195</v>
      </c>
      <c r="D15" t="s">
        <v>4196</v>
      </c>
      <c r="E15" t="s">
        <v>4197</v>
      </c>
      <c r="F15" t="s">
        <v>4198</v>
      </c>
      <c r="G15" t="s">
        <v>4199</v>
      </c>
      <c r="H15" t="s">
        <v>4200</v>
      </c>
      <c r="I15" t="s">
        <v>4201</v>
      </c>
      <c r="J15" t="s">
        <v>4162</v>
      </c>
    </row>
    <row r="16" spans="1:10" x14ac:dyDescent="0.35">
      <c r="A16">
        <v>7</v>
      </c>
      <c r="B16" t="s">
        <v>4202</v>
      </c>
      <c r="C16" t="s">
        <v>4203</v>
      </c>
      <c r="D16" t="s">
        <v>4204</v>
      </c>
      <c r="E16" t="s">
        <v>4205</v>
      </c>
      <c r="F16" t="s">
        <v>4206</v>
      </c>
      <c r="G16" t="s">
        <v>4207</v>
      </c>
      <c r="H16" t="s">
        <v>4208</v>
      </c>
      <c r="I16" t="s">
        <v>4169</v>
      </c>
      <c r="J16" t="s">
        <v>4162</v>
      </c>
    </row>
    <row r="17" spans="1:10" x14ac:dyDescent="0.35">
      <c r="A17">
        <v>8</v>
      </c>
      <c r="B17" t="s">
        <v>4209</v>
      </c>
      <c r="C17" t="s">
        <v>4171</v>
      </c>
      <c r="D17" t="s">
        <v>4210</v>
      </c>
      <c r="E17" t="s">
        <v>4211</v>
      </c>
      <c r="F17" t="s">
        <v>4212</v>
      </c>
      <c r="G17" t="s">
        <v>4213</v>
      </c>
      <c r="H17" t="s">
        <v>4214</v>
      </c>
      <c r="I17" t="s">
        <v>4193</v>
      </c>
      <c r="J17" t="s">
        <v>4162</v>
      </c>
    </row>
    <row r="18" spans="1:10" x14ac:dyDescent="0.35">
      <c r="A18">
        <v>9</v>
      </c>
      <c r="B18" t="s">
        <v>4215</v>
      </c>
      <c r="C18" t="s">
        <v>4216</v>
      </c>
      <c r="D18" t="s">
        <v>4217</v>
      </c>
      <c r="E18" t="s">
        <v>4218</v>
      </c>
      <c r="F18" t="s">
        <v>4219</v>
      </c>
      <c r="G18" t="s">
        <v>4220</v>
      </c>
      <c r="H18" t="s">
        <v>4221</v>
      </c>
      <c r="I18" t="s">
        <v>4222</v>
      </c>
      <c r="J18" t="s">
        <v>4162</v>
      </c>
    </row>
    <row r="19" spans="1:10" x14ac:dyDescent="0.35">
      <c r="A19">
        <v>10</v>
      </c>
      <c r="B19" t="s">
        <v>4223</v>
      </c>
      <c r="C19" t="s">
        <v>4224</v>
      </c>
      <c r="D19" t="s">
        <v>4225</v>
      </c>
      <c r="E19" t="s">
        <v>4226</v>
      </c>
      <c r="F19" t="s">
        <v>4227</v>
      </c>
      <c r="G19" t="s">
        <v>4228</v>
      </c>
      <c r="H19" t="s">
        <v>4229</v>
      </c>
      <c r="I19" t="s">
        <v>4193</v>
      </c>
      <c r="J19" t="s">
        <v>4162</v>
      </c>
    </row>
    <row r="20" spans="1:10" x14ac:dyDescent="0.35">
      <c r="A20">
        <v>11</v>
      </c>
      <c r="B20" t="s">
        <v>4230</v>
      </c>
      <c r="C20" t="s">
        <v>4231</v>
      </c>
      <c r="D20" t="s">
        <v>4232</v>
      </c>
      <c r="E20" t="s">
        <v>4233</v>
      </c>
      <c r="F20" t="s">
        <v>4234</v>
      </c>
      <c r="G20" t="s">
        <v>4235</v>
      </c>
      <c r="H20" t="s">
        <v>4236</v>
      </c>
      <c r="I20" t="s">
        <v>4169</v>
      </c>
      <c r="J20" t="s">
        <v>4162</v>
      </c>
    </row>
    <row r="21" spans="1:10" x14ac:dyDescent="0.35">
      <c r="A21">
        <v>12</v>
      </c>
      <c r="B21" t="s">
        <v>4237</v>
      </c>
      <c r="C21" t="s">
        <v>4238</v>
      </c>
      <c r="D21" t="s">
        <v>4239</v>
      </c>
      <c r="E21" t="s">
        <v>4240</v>
      </c>
      <c r="F21" t="s">
        <v>4241</v>
      </c>
      <c r="G21" t="s">
        <v>4242</v>
      </c>
      <c r="H21" t="s">
        <v>4243</v>
      </c>
      <c r="I21" t="s">
        <v>4201</v>
      </c>
      <c r="J21" t="s">
        <v>4162</v>
      </c>
    </row>
    <row r="22" spans="1:10" x14ac:dyDescent="0.35">
      <c r="A22">
        <v>13</v>
      </c>
      <c r="B22" t="s">
        <v>4244</v>
      </c>
      <c r="C22" t="s">
        <v>4245</v>
      </c>
      <c r="D22" t="s">
        <v>4246</v>
      </c>
      <c r="E22" t="s">
        <v>4247</v>
      </c>
      <c r="F22" t="s">
        <v>4248</v>
      </c>
      <c r="G22" t="s">
        <v>4249</v>
      </c>
      <c r="H22" t="s">
        <v>4250</v>
      </c>
      <c r="I22" t="s">
        <v>4193</v>
      </c>
      <c r="J22" t="s">
        <v>4162</v>
      </c>
    </row>
    <row r="23" spans="1:10" x14ac:dyDescent="0.35">
      <c r="A23">
        <v>14</v>
      </c>
      <c r="B23" t="s">
        <v>4251</v>
      </c>
      <c r="C23" t="s">
        <v>4252</v>
      </c>
      <c r="D23" t="s">
        <v>4253</v>
      </c>
      <c r="E23" t="s">
        <v>4254</v>
      </c>
      <c r="F23" t="s">
        <v>4255</v>
      </c>
      <c r="G23" t="s">
        <v>4256</v>
      </c>
      <c r="H23" t="s">
        <v>4257</v>
      </c>
      <c r="I23" t="s">
        <v>4169</v>
      </c>
      <c r="J23" t="s">
        <v>4162</v>
      </c>
    </row>
    <row r="24" spans="1:10" x14ac:dyDescent="0.35">
      <c r="A24">
        <v>15</v>
      </c>
      <c r="B24" t="s">
        <v>4258</v>
      </c>
      <c r="C24" t="s">
        <v>4259</v>
      </c>
      <c r="D24" t="s">
        <v>4260</v>
      </c>
      <c r="E24" t="s">
        <v>4261</v>
      </c>
      <c r="F24" t="s">
        <v>4262</v>
      </c>
      <c r="G24" t="s">
        <v>4263</v>
      </c>
      <c r="H24" t="s">
        <v>4264</v>
      </c>
      <c r="I24" t="s">
        <v>4201</v>
      </c>
      <c r="J24" t="s">
        <v>4162</v>
      </c>
    </row>
    <row r="26" spans="1:10" x14ac:dyDescent="0.35">
      <c r="A26" s="349" t="s">
        <v>4265</v>
      </c>
    </row>
    <row r="27" spans="1:10" x14ac:dyDescent="0.35">
      <c r="A27" s="350" t="s">
        <v>3671</v>
      </c>
      <c r="B27" s="350" t="s">
        <v>4266</v>
      </c>
      <c r="C27" s="350" t="s">
        <v>4267</v>
      </c>
    </row>
    <row r="28" spans="1:10" x14ac:dyDescent="0.35">
      <c r="A28" t="s">
        <v>4268</v>
      </c>
      <c r="B28" t="s">
        <v>4269</v>
      </c>
      <c r="C28" t="s">
        <v>3145</v>
      </c>
    </row>
    <row r="29" spans="1:10" x14ac:dyDescent="0.35">
      <c r="A29" t="s">
        <v>4270</v>
      </c>
      <c r="B29" t="s">
        <v>4271</v>
      </c>
      <c r="C29" t="s">
        <v>3145</v>
      </c>
    </row>
    <row r="30" spans="1:10" x14ac:dyDescent="0.35">
      <c r="A30" t="s">
        <v>4272</v>
      </c>
      <c r="B30" t="s">
        <v>4273</v>
      </c>
      <c r="C30" t="s">
        <v>3145</v>
      </c>
    </row>
    <row r="31" spans="1:10" x14ac:dyDescent="0.35">
      <c r="A31" t="s">
        <v>4274</v>
      </c>
      <c r="B31" t="s">
        <v>4275</v>
      </c>
      <c r="C31" t="s">
        <v>3145</v>
      </c>
    </row>
    <row r="32" spans="1:10" x14ac:dyDescent="0.35">
      <c r="A32" t="s">
        <v>4276</v>
      </c>
      <c r="B32" t="s">
        <v>4277</v>
      </c>
      <c r="C32" t="s">
        <v>3145</v>
      </c>
    </row>
    <row r="33" spans="1:3" x14ac:dyDescent="0.35">
      <c r="A33" t="s">
        <v>4278</v>
      </c>
      <c r="B33" t="s">
        <v>4279</v>
      </c>
      <c r="C33" t="s">
        <v>3145</v>
      </c>
    </row>
    <row r="34" spans="1:3" x14ac:dyDescent="0.35">
      <c r="A34" t="s">
        <v>4280</v>
      </c>
      <c r="B34" t="s">
        <v>4281</v>
      </c>
      <c r="C34" t="s">
        <v>3145</v>
      </c>
    </row>
    <row r="36" spans="1:3" x14ac:dyDescent="0.35">
      <c r="A36" s="349" t="s">
        <v>4282</v>
      </c>
    </row>
    <row r="37" spans="1:3" x14ac:dyDescent="0.35">
      <c r="A37" t="str">
        <f>"Total tests defined: "&amp;COUNTA(A10:A24)</f>
        <v>Total tests defined: 15</v>
      </c>
    </row>
    <row r="38" spans="1:3" x14ac:dyDescent="0.35">
      <c r="A38" t="s">
        <v>4283</v>
      </c>
    </row>
    <row r="39" spans="1:3" x14ac:dyDescent="0.35">
      <c r="A39" t="s">
        <v>4284</v>
      </c>
    </row>
    <row r="40" spans="1:3" x14ac:dyDescent="0.35">
      <c r="A40" t="s">
        <v>4285</v>
      </c>
    </row>
    <row r="41" spans="1:3" x14ac:dyDescent="0.35">
      <c r="A41" s="370" t="s">
        <v>4286</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BBDB4-6F48-4022-858D-595FF41327C5}">
  <sheetPr>
    <tabColor rgb="FF00838F"/>
  </sheetPr>
  <dimension ref="A1:J27"/>
  <sheetViews>
    <sheetView topLeftCell="B1" workbookViewId="0">
      <selection activeCell="E22" sqref="E22"/>
    </sheetView>
  </sheetViews>
  <sheetFormatPr defaultRowHeight="14.5" x14ac:dyDescent="0.35"/>
  <cols>
    <col min="1" max="10" width="23.6328125" customWidth="1"/>
  </cols>
  <sheetData>
    <row r="1" spans="1:10" ht="18.5" x14ac:dyDescent="0.45">
      <c r="A1" s="368" t="s">
        <v>4715</v>
      </c>
    </row>
    <row r="2" spans="1:10" x14ac:dyDescent="0.35">
      <c r="A2" s="346" t="s">
        <v>4716</v>
      </c>
    </row>
    <row r="4" spans="1:10" x14ac:dyDescent="0.35">
      <c r="A4" s="350" t="s">
        <v>4717</v>
      </c>
      <c r="B4" s="350" t="s">
        <v>4147</v>
      </c>
      <c r="C4" s="350" t="s">
        <v>1865</v>
      </c>
      <c r="D4" s="350" t="s">
        <v>4718</v>
      </c>
      <c r="E4" s="350" t="s">
        <v>4719</v>
      </c>
      <c r="F4" s="350" t="s">
        <v>4720</v>
      </c>
      <c r="G4" s="350" t="s">
        <v>4721</v>
      </c>
      <c r="H4" s="350" t="s">
        <v>4722</v>
      </c>
      <c r="I4" s="350" t="s">
        <v>4015</v>
      </c>
      <c r="J4" s="350" t="s">
        <v>1487</v>
      </c>
    </row>
    <row r="5" spans="1:10" x14ac:dyDescent="0.35">
      <c r="A5" t="s">
        <v>4723</v>
      </c>
      <c r="B5" t="s">
        <v>4724</v>
      </c>
      <c r="C5" t="s">
        <v>3742</v>
      </c>
      <c r="D5" t="s">
        <v>4725</v>
      </c>
      <c r="E5" t="s">
        <v>4726</v>
      </c>
      <c r="F5" t="s">
        <v>4727</v>
      </c>
      <c r="G5" t="s">
        <v>4728</v>
      </c>
      <c r="H5" t="s">
        <v>4729</v>
      </c>
      <c r="I5" t="s">
        <v>4044</v>
      </c>
      <c r="J5" t="s">
        <v>4162</v>
      </c>
    </row>
    <row r="6" spans="1:10" x14ac:dyDescent="0.35">
      <c r="A6" t="s">
        <v>4730</v>
      </c>
      <c r="B6" t="s">
        <v>4731</v>
      </c>
      <c r="C6" t="s">
        <v>3742</v>
      </c>
      <c r="D6" t="s">
        <v>4732</v>
      </c>
      <c r="E6" t="s">
        <v>4733</v>
      </c>
      <c r="F6" t="s">
        <v>4734</v>
      </c>
      <c r="G6" t="s">
        <v>4735</v>
      </c>
      <c r="H6" t="s">
        <v>4736</v>
      </c>
      <c r="I6" t="s">
        <v>4044</v>
      </c>
      <c r="J6" t="s">
        <v>4162</v>
      </c>
    </row>
    <row r="7" spans="1:10" x14ac:dyDescent="0.35">
      <c r="A7" t="s">
        <v>4737</v>
      </c>
      <c r="B7" t="s">
        <v>4738</v>
      </c>
      <c r="C7" t="s">
        <v>4656</v>
      </c>
      <c r="D7" t="s">
        <v>4739</v>
      </c>
      <c r="E7" t="s">
        <v>4740</v>
      </c>
      <c r="F7" t="s">
        <v>4741</v>
      </c>
      <c r="G7" t="s">
        <v>4742</v>
      </c>
      <c r="H7" t="s">
        <v>4743</v>
      </c>
      <c r="I7" t="s">
        <v>4044</v>
      </c>
      <c r="J7" t="s">
        <v>4162</v>
      </c>
    </row>
    <row r="8" spans="1:10" x14ac:dyDescent="0.35">
      <c r="A8" t="s">
        <v>4744</v>
      </c>
      <c r="B8" t="s">
        <v>4745</v>
      </c>
      <c r="C8" t="s">
        <v>4746</v>
      </c>
      <c r="D8" t="s">
        <v>4747</v>
      </c>
      <c r="E8" t="s">
        <v>4748</v>
      </c>
      <c r="F8" t="s">
        <v>4749</v>
      </c>
      <c r="G8" t="s">
        <v>4750</v>
      </c>
      <c r="H8" t="s">
        <v>4751</v>
      </c>
      <c r="I8" t="s">
        <v>4044</v>
      </c>
      <c r="J8" t="s">
        <v>4162</v>
      </c>
    </row>
    <row r="9" spans="1:10" x14ac:dyDescent="0.35">
      <c r="A9" t="s">
        <v>4752</v>
      </c>
      <c r="B9" t="s">
        <v>4753</v>
      </c>
      <c r="C9" t="s">
        <v>4754</v>
      </c>
      <c r="D9" t="s">
        <v>4755</v>
      </c>
      <c r="E9" t="s">
        <v>4756</v>
      </c>
      <c r="F9" t="s">
        <v>4757</v>
      </c>
      <c r="G9" t="s">
        <v>4758</v>
      </c>
      <c r="H9" t="s">
        <v>4759</v>
      </c>
      <c r="I9" t="s">
        <v>4044</v>
      </c>
      <c r="J9" t="s">
        <v>4162</v>
      </c>
    </row>
    <row r="10" spans="1:10" x14ac:dyDescent="0.35">
      <c r="A10" t="s">
        <v>4760</v>
      </c>
      <c r="B10" t="s">
        <v>4761</v>
      </c>
      <c r="C10" t="s">
        <v>3742</v>
      </c>
      <c r="D10" t="s">
        <v>4762</v>
      </c>
      <c r="E10" t="s">
        <v>4763</v>
      </c>
      <c r="F10" t="s">
        <v>4764</v>
      </c>
      <c r="G10" t="s">
        <v>4765</v>
      </c>
      <c r="H10" t="s">
        <v>4766</v>
      </c>
      <c r="I10" t="s">
        <v>4016</v>
      </c>
      <c r="J10" t="s">
        <v>4162</v>
      </c>
    </row>
    <row r="11" spans="1:10" x14ac:dyDescent="0.35">
      <c r="A11" t="s">
        <v>4767</v>
      </c>
      <c r="B11" t="s">
        <v>4768</v>
      </c>
      <c r="C11" t="s">
        <v>3742</v>
      </c>
      <c r="D11" t="s">
        <v>4769</v>
      </c>
      <c r="E11" t="s">
        <v>4770</v>
      </c>
      <c r="F11" t="s">
        <v>4193</v>
      </c>
      <c r="G11" t="s">
        <v>4771</v>
      </c>
      <c r="H11" t="s">
        <v>4772</v>
      </c>
      <c r="I11" t="s">
        <v>4016</v>
      </c>
      <c r="J11" t="s">
        <v>4162</v>
      </c>
    </row>
    <row r="12" spans="1:10" x14ac:dyDescent="0.35">
      <c r="A12" t="s">
        <v>4773</v>
      </c>
      <c r="B12" t="s">
        <v>4774</v>
      </c>
      <c r="C12" t="s">
        <v>3742</v>
      </c>
      <c r="D12" t="s">
        <v>4775</v>
      </c>
      <c r="E12" t="s">
        <v>4776</v>
      </c>
      <c r="F12" t="s">
        <v>4777</v>
      </c>
      <c r="G12" t="s">
        <v>4778</v>
      </c>
      <c r="H12" t="s">
        <v>4779</v>
      </c>
      <c r="I12" t="s">
        <v>4017</v>
      </c>
      <c r="J12" t="s">
        <v>4162</v>
      </c>
    </row>
    <row r="13" spans="1:10" x14ac:dyDescent="0.35">
      <c r="A13" t="s">
        <v>4780</v>
      </c>
      <c r="B13" t="s">
        <v>4781</v>
      </c>
      <c r="C13" t="s">
        <v>3742</v>
      </c>
      <c r="D13" t="s">
        <v>4782</v>
      </c>
      <c r="E13" t="s">
        <v>4783</v>
      </c>
      <c r="F13" t="s">
        <v>4784</v>
      </c>
      <c r="G13" t="s">
        <v>4785</v>
      </c>
      <c r="H13" t="s">
        <v>4786</v>
      </c>
      <c r="I13" t="s">
        <v>4017</v>
      </c>
      <c r="J13" t="s">
        <v>4162</v>
      </c>
    </row>
    <row r="14" spans="1:10" x14ac:dyDescent="0.35">
      <c r="A14" t="s">
        <v>4787</v>
      </c>
      <c r="B14" t="s">
        <v>4788</v>
      </c>
      <c r="C14" t="s">
        <v>4746</v>
      </c>
      <c r="D14" t="s">
        <v>4789</v>
      </c>
      <c r="E14" t="s">
        <v>4790</v>
      </c>
      <c r="F14" t="s">
        <v>4193</v>
      </c>
      <c r="G14" t="s">
        <v>4791</v>
      </c>
      <c r="H14" t="s">
        <v>4792</v>
      </c>
      <c r="I14" t="s">
        <v>4016</v>
      </c>
      <c r="J14" t="s">
        <v>4162</v>
      </c>
    </row>
    <row r="15" spans="1:10" x14ac:dyDescent="0.35">
      <c r="A15" t="s">
        <v>4793</v>
      </c>
      <c r="B15" t="s">
        <v>4794</v>
      </c>
      <c r="C15" t="s">
        <v>1743</v>
      </c>
      <c r="D15" t="s">
        <v>4795</v>
      </c>
      <c r="E15" t="s">
        <v>4796</v>
      </c>
      <c r="F15" t="s">
        <v>4193</v>
      </c>
      <c r="G15" t="s">
        <v>4797</v>
      </c>
      <c r="H15" t="s">
        <v>4798</v>
      </c>
      <c r="I15" t="s">
        <v>4016</v>
      </c>
      <c r="J15" t="s">
        <v>4162</v>
      </c>
    </row>
    <row r="17" spans="1:3" x14ac:dyDescent="0.35">
      <c r="A17" s="369" t="s">
        <v>4282</v>
      </c>
      <c r="B17" t="s">
        <v>4799</v>
      </c>
      <c r="C17">
        <f>COUNTA(A5:A15)</f>
        <v>11</v>
      </c>
    </row>
    <row r="18" spans="1:3" x14ac:dyDescent="0.35">
      <c r="B18" t="s">
        <v>4800</v>
      </c>
      <c r="C18">
        <f>COUNTIF(I5:I15,"P0")</f>
        <v>5</v>
      </c>
    </row>
    <row r="19" spans="1:3" x14ac:dyDescent="0.35">
      <c r="B19" t="s">
        <v>4801</v>
      </c>
      <c r="C19">
        <f>COUNTIF(I5:I15,"P1")</f>
        <v>4</v>
      </c>
    </row>
    <row r="20" spans="1:3" x14ac:dyDescent="0.35">
      <c r="B20" t="s">
        <v>4802</v>
      </c>
      <c r="C20">
        <f>COUNTIF(I5:I15,"P2")</f>
        <v>2</v>
      </c>
    </row>
    <row r="21" spans="1:3" x14ac:dyDescent="0.35">
      <c r="B21" t="s">
        <v>4162</v>
      </c>
      <c r="C21">
        <f>COUNTIF(J5:J15,"Not started")</f>
        <v>11</v>
      </c>
    </row>
    <row r="23" spans="1:3" x14ac:dyDescent="0.35">
      <c r="A23" s="188" t="s">
        <v>4803</v>
      </c>
    </row>
    <row r="24" spans="1:3" x14ac:dyDescent="0.35">
      <c r="A24" t="s">
        <v>4804</v>
      </c>
    </row>
    <row r="25" spans="1:3" x14ac:dyDescent="0.35">
      <c r="A25" t="s">
        <v>4805</v>
      </c>
    </row>
    <row r="26" spans="1:3" x14ac:dyDescent="0.35">
      <c r="A26" t="s">
        <v>4806</v>
      </c>
    </row>
    <row r="27" spans="1:3" x14ac:dyDescent="0.35">
      <c r="A27" t="s">
        <v>4807</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6C757D"/>
  </sheetPr>
  <dimension ref="B1:F19"/>
  <sheetViews>
    <sheetView topLeftCell="A2" zoomScaleNormal="100" workbookViewId="0">
      <selection activeCell="F19" sqref="A2:F19"/>
    </sheetView>
  </sheetViews>
  <sheetFormatPr defaultColWidth="8.54296875" defaultRowHeight="14.5" x14ac:dyDescent="0.35"/>
  <cols>
    <col min="1" max="1" width="3" customWidth="1"/>
    <col min="2" max="2" width="14" customWidth="1"/>
    <col min="3" max="3" width="42.453125" bestFit="1" customWidth="1"/>
    <col min="4" max="5" width="18" customWidth="1"/>
    <col min="6" max="6" width="24" customWidth="1"/>
  </cols>
  <sheetData>
    <row r="1" spans="2:6" ht="30" customHeight="1" x14ac:dyDescent="0.35">
      <c r="B1" s="487" t="s">
        <v>3019</v>
      </c>
      <c r="C1" s="487"/>
      <c r="D1" s="487"/>
      <c r="E1" s="487"/>
      <c r="F1" s="487"/>
    </row>
    <row r="3" spans="2:6" ht="15" customHeight="1" x14ac:dyDescent="0.35">
      <c r="B3" s="15" t="s">
        <v>3020</v>
      </c>
      <c r="C3" s="15" t="s">
        <v>3021</v>
      </c>
      <c r="D3" s="15" t="s">
        <v>3022</v>
      </c>
      <c r="E3" s="15" t="s">
        <v>1487</v>
      </c>
      <c r="F3" s="15" t="s">
        <v>3023</v>
      </c>
    </row>
    <row r="4" spans="2:6" ht="15" customHeight="1" x14ac:dyDescent="0.35">
      <c r="B4" s="89" t="s">
        <v>36</v>
      </c>
      <c r="C4" t="s">
        <v>3024</v>
      </c>
      <c r="D4" s="2" t="s">
        <v>3025</v>
      </c>
      <c r="E4" s="90" t="s">
        <v>3026</v>
      </c>
      <c r="F4" s="2" t="s">
        <v>3027</v>
      </c>
    </row>
    <row r="5" spans="2:6" ht="15" customHeight="1" x14ac:dyDescent="0.35">
      <c r="B5" s="89" t="s">
        <v>36</v>
      </c>
      <c r="C5" t="s">
        <v>3028</v>
      </c>
      <c r="D5" s="2" t="s">
        <v>3029</v>
      </c>
      <c r="E5" s="90" t="s">
        <v>3026</v>
      </c>
      <c r="F5" s="2" t="s">
        <v>3030</v>
      </c>
    </row>
    <row r="6" spans="2:6" ht="15" customHeight="1" x14ac:dyDescent="0.35">
      <c r="B6" s="89" t="s">
        <v>36</v>
      </c>
      <c r="C6" t="s">
        <v>3031</v>
      </c>
      <c r="D6" s="2" t="s">
        <v>3032</v>
      </c>
      <c r="E6" s="90" t="s">
        <v>3026</v>
      </c>
      <c r="F6" s="2" t="s">
        <v>3030</v>
      </c>
    </row>
    <row r="7" spans="2:6" ht="15" customHeight="1" x14ac:dyDescent="0.35">
      <c r="B7" s="89" t="s">
        <v>36</v>
      </c>
      <c r="C7" t="s">
        <v>3033</v>
      </c>
      <c r="D7" s="2" t="s">
        <v>802</v>
      </c>
      <c r="E7" s="90" t="s">
        <v>3026</v>
      </c>
      <c r="F7" s="2" t="s">
        <v>37</v>
      </c>
    </row>
    <row r="8" spans="2:6" ht="15" customHeight="1" x14ac:dyDescent="0.35">
      <c r="B8" s="91" t="s">
        <v>38</v>
      </c>
      <c r="C8" t="s">
        <v>3034</v>
      </c>
      <c r="D8" s="2" t="s">
        <v>3035</v>
      </c>
      <c r="E8" s="90" t="s">
        <v>3026</v>
      </c>
      <c r="F8" s="2" t="s">
        <v>39</v>
      </c>
    </row>
    <row r="9" spans="2:6" ht="15" customHeight="1" x14ac:dyDescent="0.35">
      <c r="B9" s="91" t="s">
        <v>38</v>
      </c>
      <c r="C9" t="s">
        <v>3036</v>
      </c>
      <c r="D9" s="2" t="s">
        <v>3037</v>
      </c>
      <c r="E9" s="90" t="s">
        <v>3026</v>
      </c>
      <c r="F9" s="2" t="s">
        <v>3038</v>
      </c>
    </row>
    <row r="10" spans="2:6" ht="15" customHeight="1" x14ac:dyDescent="0.35">
      <c r="B10" s="91" t="s">
        <v>38</v>
      </c>
      <c r="C10" t="s">
        <v>3039</v>
      </c>
      <c r="D10" s="2" t="s">
        <v>3040</v>
      </c>
      <c r="E10" s="90" t="s">
        <v>3026</v>
      </c>
      <c r="F10" s="2" t="s">
        <v>3041</v>
      </c>
    </row>
    <row r="11" spans="2:6" ht="15" customHeight="1" x14ac:dyDescent="0.35">
      <c r="B11" s="92" t="s">
        <v>40</v>
      </c>
      <c r="C11" t="s">
        <v>3042</v>
      </c>
      <c r="D11" s="2" t="s">
        <v>3035</v>
      </c>
      <c r="E11" s="90" t="s">
        <v>3026</v>
      </c>
      <c r="F11" s="2" t="s">
        <v>41</v>
      </c>
    </row>
    <row r="12" spans="2:6" ht="15" customHeight="1" x14ac:dyDescent="0.35">
      <c r="B12" s="92" t="s">
        <v>40</v>
      </c>
      <c r="C12" t="s">
        <v>3043</v>
      </c>
      <c r="D12" s="2" t="s">
        <v>3037</v>
      </c>
      <c r="E12" s="90" t="s">
        <v>3026</v>
      </c>
      <c r="F12" s="2" t="s">
        <v>3044</v>
      </c>
    </row>
    <row r="13" spans="2:6" ht="15" customHeight="1" x14ac:dyDescent="0.35">
      <c r="B13" s="92" t="s">
        <v>40</v>
      </c>
      <c r="C13" t="s">
        <v>3045</v>
      </c>
      <c r="D13" s="2" t="s">
        <v>802</v>
      </c>
      <c r="E13" s="90" t="s">
        <v>3026</v>
      </c>
      <c r="F13" s="2" t="s">
        <v>3046</v>
      </c>
    </row>
    <row r="14" spans="2:6" ht="15" customHeight="1" x14ac:dyDescent="0.35">
      <c r="B14" s="93" t="s">
        <v>42</v>
      </c>
      <c r="C14" t="s">
        <v>3047</v>
      </c>
      <c r="D14" s="2" t="s">
        <v>3035</v>
      </c>
      <c r="E14" s="90" t="s">
        <v>3026</v>
      </c>
      <c r="F14" s="2" t="s">
        <v>43</v>
      </c>
    </row>
    <row r="15" spans="2:6" ht="15" customHeight="1" x14ac:dyDescent="0.35">
      <c r="B15" s="93" t="s">
        <v>42</v>
      </c>
      <c r="C15" t="s">
        <v>3048</v>
      </c>
      <c r="D15" s="2" t="s">
        <v>3040</v>
      </c>
      <c r="E15" s="90" t="s">
        <v>3026</v>
      </c>
      <c r="F15" s="2" t="s">
        <v>3049</v>
      </c>
    </row>
    <row r="16" spans="2:6" ht="15" customHeight="1" x14ac:dyDescent="0.35">
      <c r="B16" s="94" t="s">
        <v>3050</v>
      </c>
      <c r="C16" t="s">
        <v>3051</v>
      </c>
      <c r="D16" s="2" t="s">
        <v>3052</v>
      </c>
      <c r="E16" s="90" t="s">
        <v>3026</v>
      </c>
      <c r="F16" s="2" t="s">
        <v>3049</v>
      </c>
    </row>
    <row r="17" spans="2:6" ht="15" customHeight="1" x14ac:dyDescent="0.35">
      <c r="B17" s="94" t="s">
        <v>3050</v>
      </c>
      <c r="C17" t="s">
        <v>3053</v>
      </c>
      <c r="D17" s="2" t="s">
        <v>3052</v>
      </c>
      <c r="E17" s="90" t="s">
        <v>3026</v>
      </c>
      <c r="F17" s="2" t="s">
        <v>3054</v>
      </c>
    </row>
    <row r="18" spans="2:6" ht="15" customHeight="1" x14ac:dyDescent="0.35">
      <c r="B18" s="94" t="s">
        <v>3050</v>
      </c>
      <c r="C18" t="s">
        <v>3055</v>
      </c>
      <c r="D18" s="2" t="s">
        <v>3052</v>
      </c>
      <c r="E18" s="90" t="s">
        <v>3026</v>
      </c>
      <c r="F18" s="2" t="s">
        <v>3056</v>
      </c>
    </row>
    <row r="19" spans="2:6" ht="15" customHeight="1" x14ac:dyDescent="0.35">
      <c r="B19" s="95" t="s">
        <v>3057</v>
      </c>
      <c r="C19" t="s">
        <v>3058</v>
      </c>
      <c r="D19" s="2" t="s">
        <v>3059</v>
      </c>
      <c r="E19" s="90" t="s">
        <v>3026</v>
      </c>
      <c r="F19" s="2" t="s">
        <v>3060</v>
      </c>
    </row>
  </sheetData>
  <mergeCells count="1">
    <mergeCell ref="B1:F1"/>
  </mergeCells>
  <pageMargins left="0.75" right="0.75" top="1" bottom="1" header="0.511811023622047" footer="0.511811023622047"/>
  <pageSetup paperSize="9"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6C757D"/>
  </sheetPr>
  <dimension ref="B1:F39"/>
  <sheetViews>
    <sheetView topLeftCell="A13" zoomScaleNormal="100" workbookViewId="0"/>
  </sheetViews>
  <sheetFormatPr defaultColWidth="8.54296875" defaultRowHeight="14.5" x14ac:dyDescent="0.35"/>
  <cols>
    <col min="1" max="1" width="3" customWidth="1"/>
    <col min="2" max="2" width="6" customWidth="1"/>
    <col min="3" max="3" width="36" customWidth="1"/>
    <col min="4" max="5" width="18" customWidth="1"/>
    <col min="6" max="6" width="24" customWidth="1"/>
  </cols>
  <sheetData>
    <row r="1" spans="2:6" ht="30" customHeight="1" x14ac:dyDescent="0.35">
      <c r="B1" s="487" t="s">
        <v>3061</v>
      </c>
      <c r="C1" s="487"/>
      <c r="D1" s="487"/>
      <c r="E1" s="487"/>
      <c r="F1" s="487"/>
    </row>
    <row r="3" spans="2:6" ht="15" customHeight="1" x14ac:dyDescent="0.35">
      <c r="B3" s="554" t="s">
        <v>3062</v>
      </c>
      <c r="C3" s="554"/>
      <c r="D3" s="554"/>
      <c r="E3" s="554"/>
      <c r="F3" s="554"/>
    </row>
    <row r="4" spans="2:6" ht="15" customHeight="1" x14ac:dyDescent="0.35">
      <c r="B4" s="15" t="s">
        <v>820</v>
      </c>
      <c r="C4" s="15" t="s">
        <v>3021</v>
      </c>
      <c r="D4" s="15" t="s">
        <v>31</v>
      </c>
      <c r="E4" s="15" t="s">
        <v>3063</v>
      </c>
      <c r="F4" s="15" t="s">
        <v>3022</v>
      </c>
    </row>
    <row r="5" spans="2:6" ht="27.75" customHeight="1" x14ac:dyDescent="0.35">
      <c r="B5" s="27" t="s">
        <v>2374</v>
      </c>
      <c r="C5" s="22" t="s">
        <v>3064</v>
      </c>
      <c r="D5" s="2" t="s">
        <v>3065</v>
      </c>
      <c r="E5" s="96" t="s">
        <v>3066</v>
      </c>
      <c r="F5" s="2" t="s">
        <v>3067</v>
      </c>
    </row>
    <row r="6" spans="2:6" ht="27.75" customHeight="1" x14ac:dyDescent="0.35">
      <c r="B6" s="27" t="s">
        <v>2380</v>
      </c>
      <c r="C6" s="22" t="s">
        <v>3068</v>
      </c>
      <c r="D6" s="2" t="s">
        <v>3065</v>
      </c>
      <c r="E6" s="96" t="s">
        <v>3069</v>
      </c>
      <c r="F6" s="2" t="s">
        <v>3070</v>
      </c>
    </row>
    <row r="7" spans="2:6" ht="27.75" customHeight="1" x14ac:dyDescent="0.35">
      <c r="B7" s="27" t="s">
        <v>2385</v>
      </c>
      <c r="C7" s="22" t="s">
        <v>3071</v>
      </c>
      <c r="D7" s="2" t="s">
        <v>3072</v>
      </c>
      <c r="E7" s="96" t="s">
        <v>3073</v>
      </c>
      <c r="F7" s="2" t="s">
        <v>3032</v>
      </c>
    </row>
    <row r="8" spans="2:6" ht="27.75" customHeight="1" x14ac:dyDescent="0.35">
      <c r="B8" s="27" t="s">
        <v>2390</v>
      </c>
      <c r="C8" s="22" t="s">
        <v>3074</v>
      </c>
      <c r="D8" s="2" t="s">
        <v>3065</v>
      </c>
      <c r="E8" s="96" t="s">
        <v>3075</v>
      </c>
      <c r="F8" s="2" t="s">
        <v>802</v>
      </c>
    </row>
    <row r="9" spans="2:6" ht="27.75" customHeight="1" x14ac:dyDescent="0.35">
      <c r="B9" s="27" t="s">
        <v>2396</v>
      </c>
      <c r="C9" s="22" t="s">
        <v>3076</v>
      </c>
      <c r="D9" s="2" t="s">
        <v>3072</v>
      </c>
      <c r="E9" s="96" t="s">
        <v>3077</v>
      </c>
      <c r="F9" s="2" t="s">
        <v>802</v>
      </c>
    </row>
    <row r="10" spans="2:6" ht="27.75" customHeight="1" x14ac:dyDescent="0.35">
      <c r="B10" s="27" t="s">
        <v>2400</v>
      </c>
      <c r="C10" s="22" t="s">
        <v>3078</v>
      </c>
      <c r="D10" s="2" t="s">
        <v>3079</v>
      </c>
      <c r="E10" s="96" t="s">
        <v>3080</v>
      </c>
      <c r="F10" s="2" t="s">
        <v>3035</v>
      </c>
    </row>
    <row r="11" spans="2:6" ht="27.75" customHeight="1" x14ac:dyDescent="0.35">
      <c r="B11" s="27" t="s">
        <v>2544</v>
      </c>
      <c r="C11" s="22" t="s">
        <v>3081</v>
      </c>
      <c r="D11" s="2" t="s">
        <v>3082</v>
      </c>
      <c r="E11" s="96" t="s">
        <v>3083</v>
      </c>
      <c r="F11" s="2" t="s">
        <v>3037</v>
      </c>
    </row>
    <row r="12" spans="2:6" ht="27.75" customHeight="1" x14ac:dyDescent="0.35">
      <c r="B12" s="27" t="s">
        <v>2592</v>
      </c>
      <c r="C12" s="22" t="s">
        <v>3084</v>
      </c>
      <c r="D12" s="2" t="s">
        <v>3082</v>
      </c>
      <c r="E12" s="96" t="s">
        <v>3085</v>
      </c>
      <c r="F12" s="2" t="s">
        <v>3040</v>
      </c>
    </row>
    <row r="13" spans="2:6" ht="27.75" customHeight="1" x14ac:dyDescent="0.35">
      <c r="B13" s="27" t="s">
        <v>2597</v>
      </c>
      <c r="C13" s="22" t="s">
        <v>3086</v>
      </c>
      <c r="D13" s="2" t="s">
        <v>3087</v>
      </c>
      <c r="E13" s="96" t="s">
        <v>3088</v>
      </c>
      <c r="F13" s="2" t="s">
        <v>3035</v>
      </c>
    </row>
    <row r="14" spans="2:6" ht="27.75" customHeight="1" x14ac:dyDescent="0.35">
      <c r="B14" s="27" t="s">
        <v>3089</v>
      </c>
      <c r="C14" s="22" t="s">
        <v>3043</v>
      </c>
      <c r="D14" s="2" t="s">
        <v>3090</v>
      </c>
      <c r="E14" s="96" t="s">
        <v>3091</v>
      </c>
      <c r="F14" s="2" t="s">
        <v>3037</v>
      </c>
    </row>
    <row r="15" spans="2:6" ht="27.75" customHeight="1" x14ac:dyDescent="0.35">
      <c r="B15" s="27" t="s">
        <v>3092</v>
      </c>
      <c r="C15" s="22" t="s">
        <v>3093</v>
      </c>
      <c r="D15" s="2" t="s">
        <v>3090</v>
      </c>
      <c r="E15" s="96" t="s">
        <v>3094</v>
      </c>
      <c r="F15" s="2" t="s">
        <v>802</v>
      </c>
    </row>
    <row r="16" spans="2:6" ht="27.75" customHeight="1" x14ac:dyDescent="0.35">
      <c r="B16" s="27" t="s">
        <v>3095</v>
      </c>
      <c r="C16" s="22" t="s">
        <v>3096</v>
      </c>
      <c r="D16" s="2" t="s">
        <v>3097</v>
      </c>
      <c r="E16" s="96" t="s">
        <v>3098</v>
      </c>
      <c r="F16" s="2" t="s">
        <v>3099</v>
      </c>
    </row>
    <row r="20" spans="2:6" ht="15" customHeight="1" x14ac:dyDescent="0.35">
      <c r="B20" s="554" t="s">
        <v>3100</v>
      </c>
      <c r="C20" s="554"/>
      <c r="D20" s="554"/>
      <c r="E20" s="554"/>
      <c r="F20" s="554"/>
    </row>
    <row r="21" spans="2:6" ht="15" customHeight="1" x14ac:dyDescent="0.35">
      <c r="B21" s="15" t="s">
        <v>820</v>
      </c>
      <c r="C21" s="15" t="s">
        <v>3101</v>
      </c>
      <c r="D21" s="15" t="s">
        <v>3102</v>
      </c>
      <c r="E21" s="15"/>
      <c r="F21" s="15"/>
    </row>
    <row r="22" spans="2:6" ht="15" customHeight="1" x14ac:dyDescent="0.35">
      <c r="B22" s="27" t="s">
        <v>2374</v>
      </c>
      <c r="C22" s="1" t="s">
        <v>3103</v>
      </c>
      <c r="D22" s="555" t="s">
        <v>3104</v>
      </c>
      <c r="E22" s="555"/>
      <c r="F22" s="555"/>
    </row>
    <row r="23" spans="2:6" ht="15" customHeight="1" x14ac:dyDescent="0.35">
      <c r="B23" s="27" t="s">
        <v>2380</v>
      </c>
      <c r="C23" s="1" t="s">
        <v>3105</v>
      </c>
      <c r="D23" s="549" t="s">
        <v>3106</v>
      </c>
      <c r="E23" s="549"/>
      <c r="F23" s="549"/>
    </row>
    <row r="24" spans="2:6" ht="15" customHeight="1" x14ac:dyDescent="0.35">
      <c r="B24" s="27" t="s">
        <v>2385</v>
      </c>
      <c r="C24" s="1" t="s">
        <v>3107</v>
      </c>
      <c r="D24" s="549" t="s">
        <v>3108</v>
      </c>
      <c r="E24" s="549"/>
      <c r="F24" s="549"/>
    </row>
    <row r="25" spans="2:6" ht="15" customHeight="1" x14ac:dyDescent="0.35">
      <c r="B25" s="27" t="s">
        <v>2390</v>
      </c>
      <c r="C25" s="1" t="s">
        <v>3109</v>
      </c>
      <c r="D25" s="549" t="s">
        <v>3110</v>
      </c>
      <c r="E25" s="549"/>
      <c r="F25" s="549"/>
    </row>
    <row r="26" spans="2:6" ht="15" customHeight="1" x14ac:dyDescent="0.35">
      <c r="B26" s="27" t="s">
        <v>2396</v>
      </c>
      <c r="C26" s="1" t="s">
        <v>3111</v>
      </c>
      <c r="D26" s="549" t="s">
        <v>3112</v>
      </c>
      <c r="E26" s="549"/>
      <c r="F26" s="549"/>
    </row>
    <row r="27" spans="2:6" ht="15" customHeight="1" x14ac:dyDescent="0.35">
      <c r="B27" s="27" t="s">
        <v>2400</v>
      </c>
      <c r="C27" s="1" t="s">
        <v>3113</v>
      </c>
      <c r="D27" s="549" t="s">
        <v>3114</v>
      </c>
      <c r="E27" s="549"/>
      <c r="F27" s="549"/>
    </row>
    <row r="30" spans="2:6" ht="15" customHeight="1" x14ac:dyDescent="0.35">
      <c r="B30" s="485" t="s">
        <v>3115</v>
      </c>
      <c r="C30" s="485"/>
      <c r="D30" s="485"/>
      <c r="E30" s="485"/>
      <c r="F30" s="485"/>
    </row>
    <row r="31" spans="2:6" ht="15" customHeight="1" x14ac:dyDescent="0.35">
      <c r="B31" s="27" t="s">
        <v>2802</v>
      </c>
      <c r="C31" s="549" t="s">
        <v>3116</v>
      </c>
      <c r="D31" s="549"/>
      <c r="E31" s="549"/>
      <c r="F31" s="549"/>
    </row>
    <row r="32" spans="2:6" ht="15" customHeight="1" x14ac:dyDescent="0.35">
      <c r="B32" s="27" t="s">
        <v>2806</v>
      </c>
      <c r="C32" s="549" t="s">
        <v>3117</v>
      </c>
      <c r="D32" s="549"/>
      <c r="E32" s="549"/>
      <c r="F32" s="549"/>
    </row>
    <row r="33" spans="2:6" ht="15" customHeight="1" x14ac:dyDescent="0.35">
      <c r="B33" s="27" t="s">
        <v>2813</v>
      </c>
      <c r="C33" s="549" t="s">
        <v>3118</v>
      </c>
      <c r="D33" s="549"/>
      <c r="E33" s="549"/>
      <c r="F33" s="549"/>
    </row>
    <row r="34" spans="2:6" ht="15" customHeight="1" x14ac:dyDescent="0.35">
      <c r="B34" s="27" t="s">
        <v>2817</v>
      </c>
      <c r="C34" s="549" t="s">
        <v>3119</v>
      </c>
      <c r="D34" s="549"/>
      <c r="E34" s="549"/>
      <c r="F34" s="549"/>
    </row>
    <row r="35" spans="2:6" ht="15" customHeight="1" x14ac:dyDescent="0.35">
      <c r="B35" s="27" t="s">
        <v>2821</v>
      </c>
      <c r="C35" s="549" t="s">
        <v>3120</v>
      </c>
      <c r="D35" s="549"/>
      <c r="E35" s="549"/>
      <c r="F35" s="549"/>
    </row>
    <row r="36" spans="2:6" ht="15" customHeight="1" x14ac:dyDescent="0.35">
      <c r="B36" s="27" t="s">
        <v>3121</v>
      </c>
      <c r="C36" s="549" t="s">
        <v>3122</v>
      </c>
      <c r="D36" s="549"/>
      <c r="E36" s="549"/>
      <c r="F36" s="549"/>
    </row>
    <row r="37" spans="2:6" ht="15" customHeight="1" x14ac:dyDescent="0.35">
      <c r="B37" s="27" t="s">
        <v>3123</v>
      </c>
      <c r="C37" s="549" t="s">
        <v>3124</v>
      </c>
      <c r="D37" s="549"/>
      <c r="E37" s="549"/>
      <c r="F37" s="549"/>
    </row>
    <row r="38" spans="2:6" ht="15" customHeight="1" x14ac:dyDescent="0.35">
      <c r="B38" s="27" t="s">
        <v>3125</v>
      </c>
      <c r="C38" s="549" t="s">
        <v>3126</v>
      </c>
      <c r="D38" s="549"/>
      <c r="E38" s="549"/>
      <c r="F38" s="549"/>
    </row>
    <row r="39" spans="2:6" ht="15" customHeight="1" x14ac:dyDescent="0.35">
      <c r="B39" s="27" t="s">
        <v>3127</v>
      </c>
      <c r="C39" s="549" t="s">
        <v>3128</v>
      </c>
      <c r="D39" s="549"/>
      <c r="E39" s="549"/>
      <c r="F39" s="549"/>
    </row>
  </sheetData>
  <mergeCells count="19">
    <mergeCell ref="C36:F36"/>
    <mergeCell ref="C37:F37"/>
    <mergeCell ref="C38:F38"/>
    <mergeCell ref="C39:F39"/>
    <mergeCell ref="C31:F31"/>
    <mergeCell ref="C32:F32"/>
    <mergeCell ref="C33:F33"/>
    <mergeCell ref="C34:F34"/>
    <mergeCell ref="C35:F35"/>
    <mergeCell ref="D24:F24"/>
    <mergeCell ref="D25:F25"/>
    <mergeCell ref="D26:F26"/>
    <mergeCell ref="D27:F27"/>
    <mergeCell ref="B30:F30"/>
    <mergeCell ref="B1:F1"/>
    <mergeCell ref="B3:F3"/>
    <mergeCell ref="B20:F20"/>
    <mergeCell ref="D22:F22"/>
    <mergeCell ref="D23:F2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78</vt:i4>
      </vt:variant>
      <vt:variant>
        <vt:lpstr>Named Ranges</vt:lpstr>
      </vt:variant>
      <vt:variant>
        <vt:i4>33</vt:i4>
      </vt:variant>
    </vt:vector>
  </HeadingPairs>
  <TitlesOfParts>
    <vt:vector size="111" baseType="lpstr">
      <vt:lpstr>Contents</vt:lpstr>
      <vt:lpstr>Funding_Plan</vt:lpstr>
      <vt:lpstr>Reading Guide</vt:lpstr>
      <vt:lpstr>Valuation</vt:lpstr>
      <vt:lpstr>Model Checks</vt:lpstr>
      <vt:lpstr>Scenario_CF</vt:lpstr>
      <vt:lpstr>Cohort_Economics</vt:lpstr>
      <vt:lpstr>Exec_Fin_Dashboard</vt:lpstr>
      <vt:lpstr>Assumptions_Log</vt:lpstr>
      <vt:lpstr>Change_Log</vt:lpstr>
      <vt:lpstr>BreakEven_Bridge</vt:lpstr>
      <vt:lpstr>Scenario_CashFlows</vt:lpstr>
      <vt:lpstr>FD_Decision_Log</vt:lpstr>
      <vt:lpstr>Sensitivity_Y5_Breakeven</vt:lpstr>
      <vt:lpstr>00_TOC</vt:lpstr>
      <vt:lpstr>Exec Summary</vt:lpstr>
      <vt:lpstr>00_Cover</vt:lpstr>
      <vt:lpstr>01_Executive_Overview</vt:lpstr>
      <vt:lpstr>02_VMV_Startup</vt:lpstr>
      <vt:lpstr>03_Choices</vt:lpstr>
      <vt:lpstr>04_Market_Sizing</vt:lpstr>
      <vt:lpstr>05_Objektif</vt:lpstr>
      <vt:lpstr>06_Prosbis_Inti</vt:lpstr>
      <vt:lpstr>07_Prosbis_Pendukung</vt:lpstr>
      <vt:lpstr>08_Task_Interdependency</vt:lpstr>
      <vt:lpstr>09_Struktur_Organisasi</vt:lpstr>
      <vt:lpstr>10_Matriks_RAM</vt:lpstr>
      <vt:lpstr>A1_Level4_Activity</vt:lpstr>
      <vt:lpstr>A2_E2E_Flow</vt:lpstr>
      <vt:lpstr>A3_KPI</vt:lpstr>
      <vt:lpstr>A4_Risk_Control</vt:lpstr>
      <vt:lpstr>A5_SOP_Draft</vt:lpstr>
      <vt:lpstr>A6_Improvement</vt:lpstr>
      <vt:lpstr>Problem</vt:lpstr>
      <vt:lpstr>Market</vt:lpstr>
      <vt:lpstr>TAM SAM SOM</vt:lpstr>
      <vt:lpstr>Customers</vt:lpstr>
      <vt:lpstr>Competitors</vt:lpstr>
      <vt:lpstr>Assumptions</vt:lpstr>
      <vt:lpstr>Assumptions (2)</vt:lpstr>
      <vt:lpstr>Master Input Data</vt:lpstr>
      <vt:lpstr>Master Component</vt:lpstr>
      <vt:lpstr>System_Architecture</vt:lpstr>
      <vt:lpstr>Architecture_Trade_Study</vt:lpstr>
      <vt:lpstr>Tech Stack</vt:lpstr>
      <vt:lpstr>Requirements_Matrix</vt:lpstr>
      <vt:lpstr>ICD_Connector</vt:lpstr>
      <vt:lpstr>SBP_BOM</vt:lpstr>
      <vt:lpstr>VoltSwap_BOM</vt:lpstr>
      <vt:lpstr>VoltGrid_BOM</vt:lpstr>
      <vt:lpstr>VoltOS_BOM</vt:lpstr>
      <vt:lpstr>Fabrication</vt:lpstr>
      <vt:lpstr>RollUp</vt:lpstr>
      <vt:lpstr>Cost_Drivers</vt:lpstr>
      <vt:lpstr>Pricing</vt:lpstr>
      <vt:lpstr>Revenue Model</vt:lpstr>
      <vt:lpstr>Swap Hub Econ</vt:lpstr>
      <vt:lpstr>Microgrid Econ</vt:lpstr>
      <vt:lpstr>Battery Lifecycle</vt:lpstr>
      <vt:lpstr>Operational KPI</vt:lpstr>
      <vt:lpstr>Carbon</vt:lpstr>
      <vt:lpstr>ESG</vt:lpstr>
      <vt:lpstr>Capex Schedule</vt:lpstr>
      <vt:lpstr>P&amp;L</vt:lpstr>
      <vt:lpstr>Cash Flow</vt:lpstr>
      <vt:lpstr>Balance Sheet</vt:lpstr>
      <vt:lpstr>Scenarios</vt:lpstr>
      <vt:lpstr>Monthly_Runway</vt:lpstr>
      <vt:lpstr>Investor Returns</vt:lpstr>
      <vt:lpstr>Regulatory_Map</vt:lpstr>
      <vt:lpstr>Uncertainty_Register</vt:lpstr>
      <vt:lpstr>Safety_Risk_Register</vt:lpstr>
      <vt:lpstr>Procurement_Recs</vt:lpstr>
      <vt:lpstr>Procurement_RFQ_List</vt:lpstr>
      <vt:lpstr>Test_Plan</vt:lpstr>
      <vt:lpstr>Tropical_Test_Protocol</vt:lpstr>
      <vt:lpstr>Roadmap</vt:lpstr>
      <vt:lpstr>Recommendations</vt:lpstr>
      <vt:lpstr>BatCostIDR</vt:lpstr>
      <vt:lpstr>BatCostUSD</vt:lpstr>
      <vt:lpstr>BatDegradation</vt:lpstr>
      <vt:lpstr>BatteriesRow</vt:lpstr>
      <vt:lpstr>CapexInfl</vt:lpstr>
      <vt:lpstr>CarbonMonetization</vt:lpstr>
      <vt:lpstr>CarbonPriceID</vt:lpstr>
      <vt:lpstr>CarbonPriceUSD</vt:lpstr>
      <vt:lpstr>Churn</vt:lpstr>
      <vt:lpstr>CourierGrowth</vt:lpstr>
      <vt:lpstr>CouriersPerHub</vt:lpstr>
      <vt:lpstr>DieselPrice</vt:lpstr>
      <vt:lpstr>EVGrowth</vt:lpstr>
      <vt:lpstr>FX</vt:lpstr>
      <vt:lpstr>HomesPerMG</vt:lpstr>
      <vt:lpstr>HubCapex</vt:lpstr>
      <vt:lpstr>HubsRow</vt:lpstr>
      <vt:lpstr>HubsY1</vt:lpstr>
      <vt:lpstr>HubUtilization</vt:lpstr>
      <vt:lpstr>Inflation</vt:lpstr>
      <vt:lpstr>MicroCapex</vt:lpstr>
      <vt:lpstr>MicrogridsRow</vt:lpstr>
      <vt:lpstr>MicrogridsY1</vt:lpstr>
      <vt:lpstr>MicrogridUptime</vt:lpstr>
      <vt:lpstr>MicroPrice</vt:lpstr>
      <vt:lpstr>OEMARPU</vt:lpstr>
      <vt:lpstr>OEMcustomers</vt:lpstr>
      <vt:lpstr>PassportARPU</vt:lpstr>
      <vt:lpstr>Scenario</vt:lpstr>
      <vt:lpstr>ScenIdx</vt:lpstr>
      <vt:lpstr>SwapPrice</vt:lpstr>
      <vt:lpstr>TaxRate</vt:lpstr>
      <vt:lpstr>WACC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Muhammad Yasin Nurfadllilah</cp:lastModifiedBy>
  <cp:revision>0</cp:revision>
  <dcterms:created xsi:type="dcterms:W3CDTF">2026-05-24T07:44:22Z</dcterms:created>
  <dcterms:modified xsi:type="dcterms:W3CDTF">2026-06-16T06:29:15Z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b525e5-f3da-4501-8f1e-526b6769fc56_Enabled">
    <vt:lpwstr>true</vt:lpwstr>
  </property>
  <property fmtid="{D5CDD505-2E9C-101B-9397-08002B2CF9AE}" pid="3" name="MSIP_Label_38b525e5-f3da-4501-8f1e-526b6769fc56_SetDate">
    <vt:lpwstr>2026-06-05T13:02:19Z</vt:lpwstr>
  </property>
  <property fmtid="{D5CDD505-2E9C-101B-9397-08002B2CF9AE}" pid="4" name="MSIP_Label_38b525e5-f3da-4501-8f1e-526b6769fc56_Method">
    <vt:lpwstr>Standard</vt:lpwstr>
  </property>
  <property fmtid="{D5CDD505-2E9C-101B-9397-08002B2CF9AE}" pid="5" name="MSIP_Label_38b525e5-f3da-4501-8f1e-526b6769fc56_Name">
    <vt:lpwstr>defa4170-0d19-0005-0004-bc88714345d2</vt:lpwstr>
  </property>
  <property fmtid="{D5CDD505-2E9C-101B-9397-08002B2CF9AE}" pid="6" name="MSIP_Label_38b525e5-f3da-4501-8f1e-526b6769fc56_SiteId">
    <vt:lpwstr>db6e1183-4c65-405c-82ce-7cd53fa6e9dc</vt:lpwstr>
  </property>
  <property fmtid="{D5CDD505-2E9C-101B-9397-08002B2CF9AE}" pid="7" name="MSIP_Label_38b525e5-f3da-4501-8f1e-526b6769fc56_ActionId">
    <vt:lpwstr>bd32623d-9647-42b2-b364-af1e828f8126</vt:lpwstr>
  </property>
  <property fmtid="{D5CDD505-2E9C-101B-9397-08002B2CF9AE}" pid="8" name="MSIP_Label_38b525e5-f3da-4501-8f1e-526b6769fc56_ContentBits">
    <vt:lpwstr>0</vt:lpwstr>
  </property>
  <property fmtid="{D5CDD505-2E9C-101B-9397-08002B2CF9AE}" pid="9" name="MSIP_Label_38b525e5-f3da-4501-8f1e-526b6769fc56_Tag">
    <vt:lpwstr>10, 3, 0, 1</vt:lpwstr>
  </property>
</Properties>
</file>